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ocuments\05.PYTHON\Projects\san_report_automation\"/>
    </mc:Choice>
  </mc:AlternateContent>
  <xr:revisionPtr revIDLastSave="0" documentId="13_ncr:1_{73FEF7DE-4A2E-43A5-8114-B8F9D560239F}" xr6:coauthVersionLast="47" xr6:coauthVersionMax="47" xr10:uidLastSave="{00000000-0000-0000-0000-000000000000}"/>
  <bookViews>
    <workbookView xWindow="-120" yWindow="-120" windowWidth="51840" windowHeight="21120" tabRatio="500" firstSheet="5" activeTab="25" xr2:uid="{00000000-000D-0000-FFFF-FFFF00000000}"/>
  </bookViews>
  <sheets>
    <sheet name="contents" sheetId="1" r:id="rId1"/>
    <sheet name="switch_models" sheetId="2" r:id="rId2"/>
    <sheet name="san_graph_grid" sheetId="3" r:id="rId3"/>
    <sheet name="oui" sheetId="5" r:id="rId4"/>
    <sheet name="sfp_models" sheetId="4" r:id="rId5"/>
    <sheet name="ssave" sheetId="32" r:id="rId6"/>
    <sheet name="chassis" sheetId="6" r:id="rId7"/>
    <sheet name="switch" sheetId="7" r:id="rId8"/>
    <sheet name="maps" sheetId="8" r:id="rId9"/>
    <sheet name="log" sheetId="9" r:id="rId10"/>
    <sheet name="portcmd" sheetId="11" r:id="rId11"/>
    <sheet name="portinfo" sheetId="12" r:id="rId12"/>
    <sheet name="ns_fdmi" sheetId="13" r:id="rId13"/>
    <sheet name="ns_split" sheetId="14" r:id="rId14"/>
    <sheet name="isl" sheetId="15" r:id="rId15"/>
    <sheet name="fcr" sheetId="16" r:id="rId16"/>
    <sheet name="sensor" sheetId="17" r:id="rId17"/>
    <sheet name="fabric" sheetId="18" r:id="rId18"/>
    <sheet name="zoning" sheetId="19" r:id="rId19"/>
    <sheet name="port_statistics" sheetId="34" r:id="rId20"/>
    <sheet name="common_regex" sheetId="20" r:id="rId21"/>
    <sheet name="blades" sheetId="21" r:id="rId22"/>
    <sheet name="synergy" sheetId="22" r:id="rId23"/>
    <sheet name="3par" sheetId="23" r:id="rId24"/>
    <sheet name="oceanstor" sheetId="33" r:id="rId25"/>
    <sheet name="raslog_split" sheetId="10" r:id="rId26"/>
    <sheet name="raslog_details" sheetId="24" r:id="rId27"/>
    <sheet name="raslog_id_details" sheetId="25" r:id="rId28"/>
    <sheet name="topology_regex" sheetId="31" r:id="rId29"/>
    <sheet name="report_columns_links" sheetId="26" r:id="rId30"/>
    <sheet name="customer_report" sheetId="27" r:id="rId31"/>
    <sheet name="Sheet1" sheetId="28" r:id="rId32"/>
    <sheet name="notes" sheetId="29" r:id="rId33"/>
    <sheet name="Sheet2" sheetId="30" r:id="rId34"/>
  </sheets>
  <definedNames>
    <definedName name="_xlnm._FilterDatabase" localSheetId="1" hidden="1">switch_models!$A$3:$L$93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85" i="26" l="1"/>
  <c r="C84" i="26"/>
  <c r="E84" i="26"/>
  <c r="D84" i="26" s="1"/>
  <c r="E85" i="26"/>
  <c r="D85" i="26" s="1"/>
  <c r="E83" i="26" l="1"/>
  <c r="D83" i="26" s="1"/>
  <c r="C83" i="26"/>
  <c r="E82" i="26"/>
  <c r="D82" i="26" s="1"/>
  <c r="C82" i="26"/>
  <c r="E81" i="26"/>
  <c r="D81" i="26" s="1"/>
  <c r="C81" i="26"/>
  <c r="E80" i="26"/>
  <c r="D80" i="26" s="1"/>
  <c r="C80" i="26"/>
  <c r="E79" i="26"/>
  <c r="D79" i="26" s="1"/>
  <c r="C79" i="26"/>
  <c r="E78" i="26"/>
  <c r="D78" i="26"/>
  <c r="C78" i="26"/>
  <c r="E77" i="26"/>
  <c r="D77" i="26"/>
  <c r="C77" i="26"/>
  <c r="E76" i="26"/>
  <c r="D76" i="26" s="1"/>
  <c r="C76" i="26"/>
  <c r="E75" i="26"/>
  <c r="D75" i="26"/>
  <c r="C75" i="26"/>
  <c r="E74" i="26"/>
  <c r="D74" i="26" s="1"/>
  <c r="C74" i="26"/>
  <c r="E73" i="26"/>
  <c r="D73" i="26" s="1"/>
  <c r="C73" i="26"/>
  <c r="E72" i="26"/>
  <c r="D72" i="26" s="1"/>
  <c r="C72" i="26"/>
  <c r="E71" i="26"/>
  <c r="D71" i="26" s="1"/>
  <c r="C71" i="26"/>
  <c r="E70" i="26"/>
  <c r="D70" i="26"/>
  <c r="C70" i="26"/>
  <c r="E69" i="26"/>
  <c r="D69" i="26" s="1"/>
  <c r="C69" i="26"/>
  <c r="E68" i="26"/>
  <c r="D68" i="26" s="1"/>
  <c r="C68" i="26"/>
  <c r="E67" i="26"/>
  <c r="D67" i="26"/>
  <c r="C67" i="26"/>
  <c r="E66" i="26"/>
  <c r="D66" i="26" s="1"/>
  <c r="C66" i="26"/>
  <c r="E65" i="26"/>
  <c r="D65" i="26" s="1"/>
  <c r="C65" i="26"/>
  <c r="E64" i="26"/>
  <c r="D64" i="26" s="1"/>
  <c r="C64" i="26"/>
  <c r="E63" i="26"/>
  <c r="D63" i="26" s="1"/>
  <c r="C63" i="26"/>
  <c r="E62" i="26"/>
  <c r="D62" i="26"/>
  <c r="C62" i="26"/>
  <c r="E61" i="26"/>
  <c r="D61" i="26"/>
  <c r="C61" i="26"/>
  <c r="E60" i="26"/>
  <c r="D60" i="26" s="1"/>
  <c r="C60" i="26"/>
  <c r="E59" i="26"/>
  <c r="D59" i="26"/>
  <c r="C59" i="26"/>
  <c r="E58" i="26"/>
  <c r="D58" i="26" s="1"/>
  <c r="C58" i="26"/>
  <c r="E57" i="26"/>
  <c r="D57" i="26" s="1"/>
  <c r="C57" i="26"/>
  <c r="E56" i="26"/>
  <c r="D56" i="26" s="1"/>
  <c r="C56" i="26"/>
  <c r="E55" i="26"/>
  <c r="D55" i="26" s="1"/>
  <c r="C55" i="26"/>
  <c r="E54" i="26"/>
  <c r="D54" i="26"/>
  <c r="C54" i="26"/>
  <c r="E53" i="26"/>
  <c r="D53" i="26" s="1"/>
  <c r="C53" i="26"/>
  <c r="E52" i="26"/>
  <c r="D52" i="26" s="1"/>
  <c r="C52" i="26"/>
  <c r="E51" i="26"/>
  <c r="D51" i="26"/>
  <c r="C51" i="26"/>
  <c r="E50" i="26"/>
  <c r="D50" i="26" s="1"/>
  <c r="C50" i="26"/>
  <c r="E49" i="26"/>
  <c r="D49" i="26" s="1"/>
  <c r="C49" i="26"/>
  <c r="E48" i="26"/>
  <c r="D48" i="26" s="1"/>
  <c r="C48" i="26"/>
  <c r="E47" i="26"/>
  <c r="D47" i="26" s="1"/>
  <c r="C47" i="26"/>
  <c r="E46" i="26"/>
  <c r="D46" i="26"/>
  <c r="C46" i="26"/>
  <c r="E45" i="26"/>
  <c r="D45" i="26"/>
  <c r="C45" i="26"/>
  <c r="E44" i="26"/>
  <c r="D44" i="26" s="1"/>
  <c r="C44" i="26"/>
  <c r="E43" i="26"/>
  <c r="D43" i="26"/>
  <c r="C43" i="26"/>
  <c r="E42" i="26"/>
  <c r="D42" i="26" s="1"/>
  <c r="C42" i="26"/>
  <c r="E41" i="26"/>
  <c r="D41" i="26" s="1"/>
  <c r="C41" i="26"/>
  <c r="E40" i="26"/>
  <c r="D40" i="26" s="1"/>
  <c r="C40" i="26"/>
  <c r="E39" i="26"/>
  <c r="D39" i="26" s="1"/>
  <c r="C39" i="26"/>
  <c r="E38" i="26"/>
  <c r="D38" i="26"/>
  <c r="C38" i="26"/>
  <c r="E37" i="26"/>
  <c r="D37" i="26" s="1"/>
  <c r="C37" i="26"/>
  <c r="E36" i="26"/>
  <c r="D36" i="26" s="1"/>
  <c r="C36" i="26"/>
  <c r="E35" i="26"/>
  <c r="D35" i="26"/>
  <c r="C35" i="26"/>
  <c r="E34" i="26"/>
  <c r="D34" i="26" s="1"/>
  <c r="C34" i="26"/>
  <c r="E33" i="26"/>
  <c r="D33" i="26" s="1"/>
  <c r="C33" i="26"/>
  <c r="E32" i="26"/>
  <c r="D32" i="26" s="1"/>
  <c r="C32" i="26"/>
  <c r="E31" i="26"/>
  <c r="D31" i="26" s="1"/>
  <c r="C31" i="26"/>
  <c r="E30" i="26"/>
  <c r="D30" i="26"/>
  <c r="C30" i="26"/>
  <c r="E29" i="26"/>
  <c r="D29" i="26"/>
  <c r="C29" i="26"/>
  <c r="G28" i="26"/>
  <c r="E28" i="26" s="1"/>
  <c r="D28" i="26" s="1"/>
  <c r="C28" i="26"/>
  <c r="G27" i="26"/>
  <c r="E27" i="26" s="1"/>
  <c r="D27" i="26" s="1"/>
  <c r="C27" i="26"/>
  <c r="G26" i="26"/>
  <c r="E26" i="26" s="1"/>
  <c r="D26" i="26" s="1"/>
  <c r="C26" i="26"/>
  <c r="G25" i="26"/>
  <c r="E25" i="26" s="1"/>
  <c r="D25" i="26" s="1"/>
  <c r="C25" i="26"/>
  <c r="G24" i="26"/>
  <c r="E24" i="26" s="1"/>
  <c r="D24" i="26" s="1"/>
  <c r="C24" i="26"/>
  <c r="G23" i="26"/>
  <c r="E23" i="26" s="1"/>
  <c r="D23" i="26" s="1"/>
  <c r="C23" i="26"/>
  <c r="G22" i="26"/>
  <c r="E22" i="26" s="1"/>
  <c r="D22" i="26" s="1"/>
  <c r="C22" i="26"/>
  <c r="G21" i="26"/>
  <c r="E21" i="26" s="1"/>
  <c r="D21" i="26" s="1"/>
  <c r="C21" i="26"/>
  <c r="G20" i="26"/>
  <c r="E20" i="26" s="1"/>
  <c r="D20" i="26" s="1"/>
  <c r="C20" i="26"/>
  <c r="G19" i="26"/>
  <c r="E19" i="26" s="1"/>
  <c r="D19" i="26" s="1"/>
  <c r="C19" i="26"/>
  <c r="G18" i="26"/>
  <c r="E18" i="26" s="1"/>
  <c r="D18" i="26" s="1"/>
  <c r="C18" i="26"/>
  <c r="G17" i="26"/>
  <c r="E17" i="26" s="1"/>
  <c r="D17" i="26" s="1"/>
  <c r="C17" i="26"/>
  <c r="G16" i="26"/>
  <c r="E16" i="26" s="1"/>
  <c r="D16" i="26" s="1"/>
  <c r="C16" i="26"/>
  <c r="G15" i="26"/>
  <c r="E15" i="26" s="1"/>
  <c r="D15" i="26" s="1"/>
  <c r="C15" i="26"/>
  <c r="G14" i="26"/>
  <c r="E14" i="26" s="1"/>
  <c r="D14" i="26" s="1"/>
  <c r="C14" i="26"/>
  <c r="G13" i="26"/>
  <c r="E13" i="26" s="1"/>
  <c r="D13" i="26" s="1"/>
  <c r="C13" i="26"/>
  <c r="G12" i="26"/>
  <c r="E12" i="26" s="1"/>
  <c r="D12" i="26" s="1"/>
  <c r="C12" i="26"/>
  <c r="G11" i="26"/>
  <c r="E11" i="26" s="1"/>
  <c r="D11" i="26" s="1"/>
  <c r="C11" i="26"/>
  <c r="G10" i="26"/>
  <c r="E10" i="26" s="1"/>
  <c r="D10" i="26" s="1"/>
  <c r="C10" i="26"/>
  <c r="G9" i="26"/>
  <c r="E9" i="26" s="1"/>
  <c r="D9" i="26" s="1"/>
  <c r="C9" i="26"/>
  <c r="G8" i="26"/>
  <c r="E8" i="26" s="1"/>
  <c r="D8" i="26" s="1"/>
  <c r="C8" i="26"/>
  <c r="G7" i="26"/>
  <c r="E7" i="26" s="1"/>
  <c r="D7" i="26" s="1"/>
  <c r="C7" i="26"/>
  <c r="G6" i="26"/>
  <c r="E6" i="26" s="1"/>
  <c r="D6" i="26" s="1"/>
  <c r="C6" i="26"/>
  <c r="G5" i="26"/>
  <c r="E5" i="26" s="1"/>
  <c r="D5" i="26" s="1"/>
  <c r="C5" i="26"/>
  <c r="G4" i="26"/>
  <c r="E4" i="26" s="1"/>
  <c r="D4" i="26" s="1"/>
  <c r="C4" i="26"/>
  <c r="G3" i="26"/>
  <c r="E3" i="26" s="1"/>
  <c r="D3" i="26" s="1"/>
  <c r="C3" i="26"/>
</calcChain>
</file>

<file path=xl/sharedStrings.xml><?xml version="1.0" encoding="utf-8"?>
<sst xmlns="http://schemas.openxmlformats.org/spreadsheetml/2006/main" count="11826" uniqueCount="5177">
  <si>
    <t>Contents</t>
  </si>
  <si>
    <t>Details</t>
  </si>
  <si>
    <t>switch_models</t>
  </si>
  <si>
    <r>
      <rPr>
        <b/>
        <sz val="11"/>
        <color rgb="FF000000"/>
        <rFont val="Calibri"/>
        <family val="2"/>
        <charset val="1"/>
      </rPr>
      <t>Switch model</t>
    </r>
    <r>
      <rPr>
        <sz val="11"/>
        <color rgb="FF000000"/>
        <rFont val="Calibri"/>
        <family val="2"/>
        <charset val="1"/>
      </rPr>
      <t xml:space="preserve"> details by switchType</t>
    </r>
  </si>
  <si>
    <t>sfp_models</t>
  </si>
  <si>
    <r>
      <rPr>
        <b/>
        <sz val="11"/>
        <color rgb="FF000000"/>
        <rFont val="Calibri"/>
        <family val="2"/>
        <charset val="1"/>
      </rPr>
      <t>Transceiver</t>
    </r>
    <r>
      <rPr>
        <sz val="11"/>
        <color rgb="FF000000"/>
        <rFont val="Calibri"/>
        <family val="2"/>
        <charset val="1"/>
      </rPr>
      <t xml:space="preserve"> model details</t>
    </r>
  </si>
  <si>
    <t>oui</t>
  </si>
  <si>
    <r>
      <rPr>
        <b/>
        <sz val="11"/>
        <color rgb="FF000000"/>
        <rFont val="Calibri"/>
        <family val="2"/>
        <charset val="1"/>
      </rPr>
      <t>O</t>
    </r>
    <r>
      <rPr>
        <sz val="11"/>
        <color rgb="FF000000"/>
        <rFont val="Calibri"/>
        <family val="2"/>
        <charset val="1"/>
      </rPr>
      <t xml:space="preserve">rganizational </t>
    </r>
    <r>
      <rPr>
        <b/>
        <sz val="11"/>
        <color rgb="FF000000"/>
        <rFont val="Calibri"/>
        <family val="2"/>
        <charset val="1"/>
      </rPr>
      <t>U</t>
    </r>
    <r>
      <rPr>
        <sz val="11"/>
        <color rgb="FF000000"/>
        <rFont val="Calibri"/>
        <family val="2"/>
        <charset val="1"/>
      </rPr>
      <t xml:space="preserve">nique </t>
    </r>
    <r>
      <rPr>
        <b/>
        <sz val="11"/>
        <color rgb="FF000000"/>
        <rFont val="Calibri"/>
        <family val="2"/>
        <charset val="1"/>
      </rPr>
      <t>I</t>
    </r>
    <r>
      <rPr>
        <sz val="11"/>
        <color rgb="FF000000"/>
        <rFont val="Calibri"/>
        <family val="2"/>
        <charset val="1"/>
      </rPr>
      <t xml:space="preserve">dentifier </t>
    </r>
    <r>
      <rPr>
        <b/>
        <sz val="11"/>
        <color rgb="FF000000"/>
        <rFont val="Calibri"/>
        <family val="2"/>
        <charset val="1"/>
      </rPr>
      <t>OUI</t>
    </r>
  </si>
  <si>
    <t>chassis</t>
  </si>
  <si>
    <r>
      <rPr>
        <b/>
        <sz val="11"/>
        <color rgb="FF000000"/>
        <rFont val="Calibri"/>
        <family val="2"/>
        <charset val="1"/>
      </rPr>
      <t>Chassis</t>
    </r>
    <r>
      <rPr>
        <sz val="11"/>
        <color rgb="FF000000"/>
        <rFont val="Calibri"/>
        <family val="2"/>
        <charset val="1"/>
      </rPr>
      <t xml:space="preserve"> level parameters parsing regex patterns</t>
    </r>
  </si>
  <si>
    <t>switch</t>
  </si>
  <si>
    <r>
      <rPr>
        <b/>
        <sz val="11"/>
        <color rgb="FF000000"/>
        <rFont val="Calibri"/>
        <family val="2"/>
        <charset val="1"/>
      </rPr>
      <t>Switch</t>
    </r>
    <r>
      <rPr>
        <sz val="11"/>
        <color rgb="FF000000"/>
        <rFont val="Calibri"/>
        <family val="2"/>
        <charset val="1"/>
      </rPr>
      <t xml:space="preserve"> level parameters parsing regex patterns</t>
    </r>
  </si>
  <si>
    <t>maps</t>
  </si>
  <si>
    <r>
      <rPr>
        <b/>
        <sz val="11"/>
        <color rgb="FF000000"/>
        <rFont val="Calibri"/>
        <family val="2"/>
        <charset val="1"/>
      </rPr>
      <t>MAPS</t>
    </r>
    <r>
      <rPr>
        <sz val="11"/>
        <color rgb="FF000000"/>
        <rFont val="Calibri"/>
        <family val="2"/>
        <charset val="1"/>
      </rPr>
      <t xml:space="preserve"> config parsing regex patterns</t>
    </r>
  </si>
  <si>
    <t>portcmd</t>
  </si>
  <si>
    <r>
      <rPr>
        <b/>
        <sz val="11"/>
        <color rgb="FF000000"/>
        <rFont val="Calibri"/>
        <family val="2"/>
        <charset val="1"/>
      </rPr>
      <t>Portshow, portstats</t>
    </r>
    <r>
      <rPr>
        <sz val="11"/>
        <color rgb="FF000000"/>
        <rFont val="Calibri"/>
        <family val="2"/>
        <charset val="1"/>
      </rPr>
      <t xml:space="preserve"> parsing regex patterns</t>
    </r>
  </si>
  <si>
    <t>portinfo</t>
  </si>
  <si>
    <r>
      <rPr>
        <b/>
        <sz val="11"/>
        <color rgb="FF000000"/>
        <rFont val="Calibri"/>
        <family val="2"/>
        <charset val="1"/>
      </rPr>
      <t>Sfpshow, portcfgshow</t>
    </r>
    <r>
      <rPr>
        <sz val="11"/>
        <color rgb="FF000000"/>
        <rFont val="Calibri"/>
        <family val="2"/>
        <charset val="1"/>
      </rPr>
      <t xml:space="preserve"> parsing regex patterns</t>
    </r>
  </si>
  <si>
    <t>ns_fdmi</t>
  </si>
  <si>
    <r>
      <rPr>
        <b/>
        <sz val="11"/>
        <color rgb="FF000000"/>
        <rFont val="Calibri"/>
        <family val="2"/>
        <charset val="1"/>
      </rPr>
      <t>Nameserver</t>
    </r>
    <r>
      <rPr>
        <sz val="11"/>
        <color rgb="FF000000"/>
        <rFont val="Calibri"/>
        <family val="2"/>
        <charset val="1"/>
      </rPr>
      <t xml:space="preserve"> and </t>
    </r>
    <r>
      <rPr>
        <b/>
        <sz val="11"/>
        <color rgb="FF000000"/>
        <rFont val="Calibri"/>
        <family val="2"/>
        <charset val="1"/>
      </rPr>
      <t>FDMI</t>
    </r>
    <r>
      <rPr>
        <sz val="11"/>
        <color rgb="FF000000"/>
        <rFont val="Calibri"/>
        <family val="2"/>
        <charset val="1"/>
      </rPr>
      <t xml:space="preserve"> parsing regex patterns</t>
    </r>
  </si>
  <si>
    <t>ns_split</t>
  </si>
  <si>
    <r>
      <rPr>
        <b/>
        <sz val="11"/>
        <color rgb="FF000000"/>
        <rFont val="Calibri"/>
        <family val="2"/>
        <charset val="1"/>
      </rPr>
      <t>Nameserver</t>
    </r>
    <r>
      <rPr>
        <sz val="11"/>
        <color rgb="FF000000"/>
        <rFont val="Calibri"/>
        <family val="2"/>
        <charset val="1"/>
      </rPr>
      <t xml:space="preserve"> and </t>
    </r>
    <r>
      <rPr>
        <b/>
        <sz val="11"/>
        <color rgb="FF000000"/>
        <rFont val="Calibri"/>
        <family val="2"/>
        <charset val="1"/>
      </rPr>
      <t>FDMI information</t>
    </r>
    <r>
      <rPr>
        <sz val="11"/>
        <color rgb="FF000000"/>
        <rFont val="Calibri"/>
        <family val="2"/>
        <charset val="1"/>
      </rPr>
      <t xml:space="preserve"> </t>
    </r>
    <r>
      <rPr>
        <b/>
        <sz val="11"/>
        <color rgb="FF000000"/>
        <rFont val="Calibri"/>
        <family val="2"/>
        <charset val="1"/>
      </rPr>
      <t>split</t>
    </r>
    <r>
      <rPr>
        <sz val="11"/>
        <color rgb="FF000000"/>
        <rFont val="Calibri"/>
        <family val="2"/>
        <charset val="1"/>
      </rPr>
      <t xml:space="preserve"> regex patterns</t>
    </r>
  </si>
  <si>
    <t>isl</t>
  </si>
  <si>
    <r>
      <rPr>
        <b/>
        <sz val="11"/>
        <color rgb="FF000000"/>
        <rFont val="Calibri"/>
        <family val="2"/>
        <charset val="1"/>
      </rPr>
      <t>ISL, trunk, porttrunkarea, lsdb</t>
    </r>
    <r>
      <rPr>
        <sz val="11"/>
        <color rgb="FF000000"/>
        <rFont val="Calibri"/>
        <family val="2"/>
        <charset val="1"/>
      </rPr>
      <t xml:space="preserve"> parsing regex patterns</t>
    </r>
  </si>
  <si>
    <t>fcr</t>
  </si>
  <si>
    <r>
      <rPr>
        <b/>
        <sz val="11"/>
        <color rgb="FF000000"/>
        <rFont val="Calibri"/>
        <family val="2"/>
        <charset val="1"/>
      </rPr>
      <t>FCR</t>
    </r>
    <r>
      <rPr>
        <sz val="11"/>
        <color rgb="FF000000"/>
        <rFont val="Calibri"/>
        <family val="2"/>
        <charset val="1"/>
      </rPr>
      <t xml:space="preserve"> related commands parsing regex patterns</t>
    </r>
  </si>
  <si>
    <t>sensor</t>
  </si>
  <si>
    <r>
      <rPr>
        <b/>
        <sz val="11"/>
        <color rgb="FF000000"/>
        <rFont val="Calibri"/>
        <family val="2"/>
        <charset val="1"/>
      </rPr>
      <t>Sensor</t>
    </r>
    <r>
      <rPr>
        <sz val="11"/>
        <color rgb="FF000000"/>
        <rFont val="Calibri"/>
        <family val="2"/>
        <charset val="1"/>
      </rPr>
      <t xml:space="preserve"> parsing regex patterns</t>
    </r>
  </si>
  <si>
    <t>fabric</t>
  </si>
  <si>
    <r>
      <rPr>
        <b/>
        <sz val="11"/>
        <color rgb="FF000000"/>
        <rFont val="Calibri"/>
        <family val="2"/>
        <charset val="1"/>
      </rPr>
      <t>Fabricshow,</t>
    </r>
    <r>
      <rPr>
        <sz val="11"/>
        <color rgb="FF000000"/>
        <rFont val="Calibri"/>
        <family val="2"/>
        <charset val="1"/>
      </rPr>
      <t xml:space="preserve"> </t>
    </r>
    <r>
      <rPr>
        <b/>
        <sz val="11"/>
        <color rgb="FF000000"/>
        <rFont val="Calibri"/>
        <family val="2"/>
        <charset val="1"/>
      </rPr>
      <t>agshow</t>
    </r>
    <r>
      <rPr>
        <sz val="11"/>
        <color rgb="FF000000"/>
        <rFont val="Calibri"/>
        <family val="2"/>
        <charset val="1"/>
      </rPr>
      <t xml:space="preserve"> parsing regex patterns</t>
    </r>
  </si>
  <si>
    <t>zoning</t>
  </si>
  <si>
    <r>
      <rPr>
        <b/>
        <sz val="11"/>
        <color rgb="FF000000"/>
        <rFont val="Calibri"/>
        <family val="2"/>
        <charset val="1"/>
      </rPr>
      <t>Zoning</t>
    </r>
    <r>
      <rPr>
        <sz val="11"/>
        <color rgb="FF000000"/>
        <rFont val="Calibri"/>
        <family val="2"/>
        <charset val="1"/>
      </rPr>
      <t xml:space="preserve"> related commands parsing regex patterns</t>
    </r>
  </si>
  <si>
    <t>blades</t>
  </si>
  <si>
    <r>
      <rPr>
        <b/>
        <sz val="11"/>
        <color rgb="FF000000"/>
        <rFont val="Calibri"/>
        <family val="2"/>
        <charset val="1"/>
      </rPr>
      <t>Blade system "show all"</t>
    </r>
    <r>
      <rPr>
        <sz val="11"/>
        <color rgb="FF000000"/>
        <rFont val="Calibri"/>
        <family val="2"/>
        <charset val="1"/>
      </rPr>
      <t xml:space="preserve"> parsing regex patterns</t>
    </r>
  </si>
  <si>
    <t>3par</t>
  </si>
  <si>
    <r>
      <rPr>
        <b/>
        <sz val="11"/>
        <color rgb="FF000000"/>
        <rFont val="Calibri"/>
        <family val="2"/>
        <charset val="1"/>
      </rPr>
      <t>3PAR inserv.config</t>
    </r>
    <r>
      <rPr>
        <sz val="11"/>
        <color rgb="FF000000"/>
        <rFont val="Calibri"/>
        <family val="2"/>
        <charset val="1"/>
      </rPr>
      <t xml:space="preserve"> parsing regex patterns</t>
    </r>
  </si>
  <si>
    <t>log</t>
  </si>
  <si>
    <r>
      <rPr>
        <b/>
        <sz val="11"/>
        <color rgb="FF000000"/>
        <rFont val="Calibri"/>
        <family val="2"/>
        <charset val="1"/>
      </rPr>
      <t>Errorlog</t>
    </r>
    <r>
      <rPr>
        <sz val="11"/>
        <color rgb="FF000000"/>
        <rFont val="Calibri"/>
        <family val="2"/>
        <charset val="1"/>
      </rPr>
      <t xml:space="preserve"> parsing regex patterns</t>
    </r>
  </si>
  <si>
    <t>raslog_split</t>
  </si>
  <si>
    <r>
      <rPr>
        <b/>
        <sz val="11"/>
        <color rgb="FF000000"/>
        <rFont val="Calibri"/>
        <family val="2"/>
        <charset val="1"/>
      </rPr>
      <t>Errorlog message</t>
    </r>
    <r>
      <rPr>
        <sz val="11"/>
        <color rgb="FF000000"/>
        <rFont val="Calibri"/>
        <family val="2"/>
        <charset val="1"/>
      </rPr>
      <t xml:space="preserve"> </t>
    </r>
    <r>
      <rPr>
        <b/>
        <sz val="11"/>
        <color rgb="FF000000"/>
        <rFont val="Calibri"/>
        <family val="2"/>
        <charset val="1"/>
      </rPr>
      <t>split</t>
    </r>
    <r>
      <rPr>
        <sz val="11"/>
        <color rgb="FF000000"/>
        <rFont val="Calibri"/>
        <family val="2"/>
        <charset val="1"/>
      </rPr>
      <t xml:space="preserve"> regex patterns</t>
    </r>
  </si>
  <si>
    <t>raslog_details</t>
  </si>
  <si>
    <r>
      <rPr>
        <b/>
        <sz val="11"/>
        <color rgb="FF000000"/>
        <rFont val="Calibri"/>
        <family val="2"/>
        <charset val="1"/>
      </rPr>
      <t>Errorlog</t>
    </r>
    <r>
      <rPr>
        <sz val="11"/>
        <color rgb="FF000000"/>
        <rFont val="Calibri"/>
        <family val="2"/>
        <charset val="1"/>
      </rPr>
      <t xml:space="preserve"> message </t>
    </r>
    <r>
      <rPr>
        <b/>
        <sz val="11"/>
        <color rgb="FF000000"/>
        <rFont val="Calibri"/>
        <family val="2"/>
        <charset val="1"/>
      </rPr>
      <t>details</t>
    </r>
    <r>
      <rPr>
        <sz val="11"/>
        <color rgb="FF000000"/>
        <rFont val="Calibri"/>
        <family val="2"/>
        <charset val="1"/>
      </rPr>
      <t xml:space="preserve"> by </t>
    </r>
    <r>
      <rPr>
        <b/>
        <sz val="11"/>
        <color rgb="FF000000"/>
        <rFont val="Calibri"/>
        <family val="2"/>
        <charset val="1"/>
      </rPr>
      <t>condition</t>
    </r>
    <r>
      <rPr>
        <sz val="11"/>
        <color rgb="FF000000"/>
        <rFont val="Calibri"/>
        <family val="2"/>
        <charset val="1"/>
      </rPr>
      <t xml:space="preserve"> </t>
    </r>
  </si>
  <si>
    <t>raslog_id_details</t>
  </si>
  <si>
    <r>
      <rPr>
        <b/>
        <sz val="11"/>
        <color rgb="FF000000"/>
        <rFont val="Calibri"/>
        <family val="2"/>
        <charset val="1"/>
      </rPr>
      <t>Errorlog</t>
    </r>
    <r>
      <rPr>
        <sz val="11"/>
        <color rgb="FF000000"/>
        <rFont val="Calibri"/>
        <family val="2"/>
        <charset val="1"/>
      </rPr>
      <t xml:space="preserve"> message </t>
    </r>
    <r>
      <rPr>
        <b/>
        <sz val="11"/>
        <color rgb="FF000000"/>
        <rFont val="Calibri"/>
        <family val="2"/>
        <charset val="1"/>
      </rPr>
      <t>details</t>
    </r>
    <r>
      <rPr>
        <sz val="11"/>
        <color rgb="FF000000"/>
        <rFont val="Calibri"/>
        <family val="2"/>
        <charset val="1"/>
      </rPr>
      <t xml:space="preserve"> by </t>
    </r>
    <r>
      <rPr>
        <b/>
        <sz val="11"/>
        <color rgb="FF000000"/>
        <rFont val="Calibri"/>
        <family val="2"/>
        <charset val="1"/>
      </rPr>
      <t>ID</t>
    </r>
  </si>
  <si>
    <t>common_regex</t>
  </si>
  <si>
    <r>
      <rPr>
        <b/>
        <sz val="11"/>
        <color rgb="FF000000"/>
        <rFont val="Calibri"/>
        <family val="2"/>
        <charset val="1"/>
      </rPr>
      <t>Uncategorized</t>
    </r>
    <r>
      <rPr>
        <sz val="11"/>
        <color rgb="FF000000"/>
        <rFont val="Calibri"/>
        <family val="2"/>
        <charset val="1"/>
      </rPr>
      <t xml:space="preserve"> regex patterns </t>
    </r>
  </si>
  <si>
    <t>links_to_report_columns</t>
  </si>
  <si>
    <t>Links to report columns</t>
  </si>
  <si>
    <t>customer_report</t>
  </si>
  <si>
    <r>
      <rPr>
        <b/>
        <sz val="11"/>
        <color rgb="FF000000"/>
        <rFont val="Calibri"/>
        <family val="2"/>
        <charset val="1"/>
      </rPr>
      <t>Report</t>
    </r>
    <r>
      <rPr>
        <sz val="11"/>
        <color rgb="FF000000"/>
        <rFont val="Calibri"/>
        <family val="2"/>
        <charset val="1"/>
      </rPr>
      <t xml:space="preserve"> columns</t>
    </r>
  </si>
  <si>
    <t>switchType</t>
  </si>
  <si>
    <t>Brocade_modelName</t>
  </si>
  <si>
    <t>HPE_modelName</t>
  </si>
  <si>
    <t>HPE_modelName_</t>
  </si>
  <si>
    <t>Generation</t>
  </si>
  <si>
    <t>switch_speedMax</t>
  </si>
  <si>
    <t>Description</t>
  </si>
  <si>
    <t>Recommended_FOS</t>
  </si>
  <si>
    <t>HW_Supported</t>
  </si>
  <si>
    <t>ASIC_quantity</t>
  </si>
  <si>
    <t>ASIC</t>
  </si>
  <si>
    <t>switchClass</t>
  </si>
  <si>
    <t>1</t>
  </si>
  <si>
    <t>Brocade 1000 Switches</t>
  </si>
  <si>
    <t>-</t>
  </si>
  <si>
    <t>Brocade 2800 Switch</t>
  </si>
  <si>
    <t>1Gb</t>
  </si>
  <si>
    <t>Нет</t>
  </si>
  <si>
    <t>Brocade 2100, 2400 Switches</t>
  </si>
  <si>
    <t>Brocade 20x0, 2010, 2040, 2050 Switches</t>
  </si>
  <si>
    <t>Brocade 22x0, 2210, 2240, 2250 Switches</t>
  </si>
  <si>
    <t>Brocade 2000 Switch</t>
  </si>
  <si>
    <t>Brocade 3800 Switch</t>
  </si>
  <si>
    <t>2Gb</t>
  </si>
  <si>
    <t>Brocade 12000 Director</t>
  </si>
  <si>
    <t>HP StorageWorks Core Switch 2/64</t>
  </si>
  <si>
    <t>2 Gb 64-port Director</t>
  </si>
  <si>
    <t>DIR</t>
  </si>
  <si>
    <t>Brocade 3900 Switch</t>
  </si>
  <si>
    <t>HP StorageWorks SAN Switch 2/32</t>
  </si>
  <si>
    <t>2 Gb 32-port switch</t>
  </si>
  <si>
    <t>ENTP</t>
  </si>
  <si>
    <t>Brocade 3200 Switch</t>
  </si>
  <si>
    <t>HP StorageWorks SAN Switch 2/8-EL</t>
  </si>
  <si>
    <t>2 Gb 8-port value line switch</t>
  </si>
  <si>
    <t>ENTRY</t>
  </si>
  <si>
    <t>Brocade 3800VL</t>
  </si>
  <si>
    <t>Brocade 3000 Switch</t>
  </si>
  <si>
    <t>Brocade 24000 Director</t>
  </si>
  <si>
    <t xml:space="preserve">HP StorageWorks SAN Director 2/128 </t>
  </si>
  <si>
    <t>2 Gb 128-port core fabric switch</t>
  </si>
  <si>
    <t>Brocade 3016 Switch</t>
  </si>
  <si>
    <t>Brocade 3850 Switch</t>
  </si>
  <si>
    <t>HP StorageWorks SAN Switch 2/16V B-Series Switch</t>
  </si>
  <si>
    <t>2 Gb 16-port switch with switch limit</t>
  </si>
  <si>
    <t>MID</t>
  </si>
  <si>
    <t>Brocade 3250 Switch</t>
  </si>
  <si>
    <t>2 Gb 8-port switch with switch limit</t>
  </si>
  <si>
    <t>Brocade 4012 Embedded Switch</t>
  </si>
  <si>
    <t>Brocade 4Gb SAN Switch for HP p-Class BladeSystem</t>
  </si>
  <si>
    <t>4Gb</t>
  </si>
  <si>
    <t>4 Gb 12-port embedded switch</t>
  </si>
  <si>
    <t>EMB</t>
  </si>
  <si>
    <t>Brocade 4100 Switch</t>
  </si>
  <si>
    <t>HP StorageWorks SAN Switch 4/32</t>
  </si>
  <si>
    <t>4 Gb 32-port switch</t>
  </si>
  <si>
    <t>Brocade 3014 Switch</t>
  </si>
  <si>
    <t>Brocade 200E Switch</t>
  </si>
  <si>
    <t>HP StorageWorks 4/16 Base SAN Switch</t>
  </si>
  <si>
    <t>4Gbps 16-port switch</t>
  </si>
  <si>
    <t>Brocade 4020 Embedded Switch</t>
  </si>
  <si>
    <t>4 Gb 20-port embedded switch</t>
  </si>
  <si>
    <t>Brocade 7420 SAN Router</t>
  </si>
  <si>
    <t>HP StorageWorks 200 Multi Protocol Router</t>
  </si>
  <si>
    <t>Multi Protocol Router</t>
  </si>
  <si>
    <t>Fibre Channel Routing (FCR) Front Domain</t>
  </si>
  <si>
    <t>Fibre Channel Routing, (FCR) Xlate Domain</t>
  </si>
  <si>
    <t>Brocade 48000 Director</t>
  </si>
  <si>
    <t>HP StorageWorks 4/256 SAN Director B-Series Family</t>
  </si>
  <si>
    <t>4 Gbp 256-ports Director</t>
  </si>
  <si>
    <t>Brocade 4024 Embedded Switch</t>
  </si>
  <si>
    <t>Brocade 4Gb SAN Switch for HP c-Class BladeSystem</t>
  </si>
  <si>
    <t>4 Gb 24-port embedded switch</t>
  </si>
  <si>
    <t>Brocade 4900 Switch</t>
  </si>
  <si>
    <t>HP StorageWorks SAN Switch 4/64</t>
  </si>
  <si>
    <t>4 Gb 64-port switch</t>
  </si>
  <si>
    <t>Brocade 4016 Embedded Switch</t>
  </si>
  <si>
    <t>4 Gb 16-port embedded switch</t>
  </si>
  <si>
    <t>Brocade 7500 Switch</t>
  </si>
  <si>
    <t>HP StorageWorks 400 Multi Protocol Router</t>
  </si>
  <si>
    <t>Brocade 4018 Embedded Switch</t>
  </si>
  <si>
    <t>4 Gb 16/18-port embedded switch</t>
  </si>
  <si>
    <t>55</t>
  </si>
  <si>
    <t>Brocade 7600 Switch</t>
  </si>
  <si>
    <t>Brocade 5000 Switch</t>
  </si>
  <si>
    <t>HP StorageWorks SAN Switch 4/32B</t>
  </si>
  <si>
    <t>CONDOR</t>
  </si>
  <si>
    <t>Brocade 4424 Embedded Switch</t>
  </si>
  <si>
    <t>Brocade DCX Backbone</t>
  </si>
  <si>
    <t>HP StorageWorks DC SAN Backbone Director</t>
  </si>
  <si>
    <t>Gen4</t>
  </si>
  <si>
    <t>8 Gb 384-port core fabric backbone</t>
  </si>
  <si>
    <t>Brocade 5300 Switch</t>
  </si>
  <si>
    <t>HP StorageWorks 8/80 SAN Switch</t>
  </si>
  <si>
    <t>8 Gb 80-port switch</t>
  </si>
  <si>
    <t>Brocade 5100 Switch</t>
  </si>
  <si>
    <t>HP StorageWorks 8/40 SAN Switch</t>
  </si>
  <si>
    <t>8 Gb 40-port switch</t>
  </si>
  <si>
    <t>CONDOR2</t>
  </si>
  <si>
    <t>Brocade Encryption Switch</t>
  </si>
  <si>
    <t>HP StorageWorks Encryption SAN switch</t>
  </si>
  <si>
    <t>8 Gb 16-port encryption switch</t>
  </si>
  <si>
    <t>v7.4.2j</t>
  </si>
  <si>
    <t>проверить</t>
  </si>
  <si>
    <t>Brocade 5410 Blade</t>
  </si>
  <si>
    <t>8 Gb 12-port embedded switch</t>
  </si>
  <si>
    <t>Brocade 5410 Embedded Switch</t>
  </si>
  <si>
    <t>HP EVA 4400 embedded SAN switch</t>
  </si>
  <si>
    <t>HP StorageWorks 8/8 and 8/24 SAN Switches</t>
  </si>
  <si>
    <t>8 Gb 24-port switch</t>
  </si>
  <si>
    <t>Да</t>
  </si>
  <si>
    <t>GEYE2</t>
  </si>
  <si>
    <t>Brocade 5480/5481 Embedded Switch</t>
  </si>
  <si>
    <t>Brocade 8Gb SAN module for HP c-Class BladeSystem</t>
  </si>
  <si>
    <t>8 Gb 24-port embedded switch</t>
  </si>
  <si>
    <t>Brocade 5470 Embedded Switch</t>
  </si>
  <si>
    <t>8 Gb 20-port embedded switch</t>
  </si>
  <si>
    <t>Brocade M5424 Embedded Switch</t>
  </si>
  <si>
    <t>Brocade 8000 Switch</t>
  </si>
  <si>
    <t>HPE 2408 FCoE Converged Network Switch</t>
  </si>
  <si>
    <t>Fibre Channel over Ethernet switch</t>
  </si>
  <si>
    <t>EXT</t>
  </si>
  <si>
    <t>Brocade DCX-4S Backbone</t>
  </si>
  <si>
    <t>HP StorageWorks DC04 SAN Director</t>
  </si>
  <si>
    <t>8 Gb 192-port core fabric backbone</t>
  </si>
  <si>
    <t>Brocade 7800 Extension Switch</t>
  </si>
  <si>
    <t>HPE 1606 Extension SAN Switch</t>
  </si>
  <si>
    <t>8 Gb 16-FC ports, 6 GbE ports extension switch</t>
  </si>
  <si>
    <t>Brocade 5450 Embedded Switch</t>
  </si>
  <si>
    <t>8 Gb 26-port embedded switch</t>
  </si>
  <si>
    <t>Brocade 5460 Embedded Switch</t>
  </si>
  <si>
    <t>Brocade 8470 Embedded Switch</t>
  </si>
  <si>
    <t>Brocade VA-40FC Switch</t>
  </si>
  <si>
    <t>Brocade VDX 6720-24 Data Center Switch</t>
  </si>
  <si>
    <t>Brocade VDX 6730-32 Data Center Switch</t>
  </si>
  <si>
    <t>Brocade VDX 6720-60 Data Center Switch</t>
  </si>
  <si>
    <t>Brocade VDX 6730-76 Data Center Switch</t>
  </si>
  <si>
    <t>Dell M8428-k FCoE Embedded Switch</t>
  </si>
  <si>
    <t>Brocade 6510</t>
  </si>
  <si>
    <t>HPE SN6000B Fibre Channel Switch</t>
  </si>
  <si>
    <t>Gen5</t>
  </si>
  <si>
    <t>16 Gb 48-port switch</t>
  </si>
  <si>
    <t>v8.2.3c</t>
  </si>
  <si>
    <t>CONDOR3</t>
  </si>
  <si>
    <t>Brocade VDX 6710 Data Center Switch</t>
  </si>
  <si>
    <t>Brocade 6547 Embedded Switch</t>
  </si>
  <si>
    <t>16 Gb 48-port embedded switch</t>
  </si>
  <si>
    <t>118</t>
  </si>
  <si>
    <t>Brocade 6505</t>
  </si>
  <si>
    <t>HPE SN3000B Fibre Channel Switch</t>
  </si>
  <si>
    <t>16 Gb 24-port switch</t>
  </si>
  <si>
    <t>119</t>
  </si>
  <si>
    <t>Brocade DCX 8510-8 Backbone Director</t>
  </si>
  <si>
    <t>HPE SN8000B 8-Slot SAN Backbone Director Switch</t>
  </si>
  <si>
    <t>16 Gb 384-port core fabric backbone</t>
  </si>
  <si>
    <t>24</t>
  </si>
  <si>
    <t>Brocade DCX 8510-4 Backbone Director</t>
  </si>
  <si>
    <t>HPE SN8000B 4-Slot SAN Backbone Director Switch</t>
  </si>
  <si>
    <t>16 Gb 192-port core fabric backbone</t>
  </si>
  <si>
    <t>12</t>
  </si>
  <si>
    <t>124</t>
  </si>
  <si>
    <t>Brocade 5430 embedded switch</t>
  </si>
  <si>
    <t>8 Gb 16-port embedded switch</t>
  </si>
  <si>
    <t>125</t>
  </si>
  <si>
    <t>Brocade 5431</t>
  </si>
  <si>
    <t>8 Gb 16-port stackable switch module</t>
  </si>
  <si>
    <t>Brocade 6548/6549</t>
  </si>
  <si>
    <t>16Gb SAN Switch for HPE BladeSystem c-Class</t>
  </si>
  <si>
    <t>16 Gb 28-port Blade Server SAN I/O Module</t>
  </si>
  <si>
    <t>Brocade M6505</t>
  </si>
  <si>
    <t>16 Gbit 24-port Blade Server SAN I/O Module</t>
  </si>
  <si>
    <t>Brocade 6520</t>
  </si>
  <si>
    <t>HPE SN6500B Fibre Channel Switch</t>
  </si>
  <si>
    <t>16 Gb 96-port switch</t>
  </si>
  <si>
    <t>Brocade 5432 embedded switch</t>
  </si>
  <si>
    <t>Brocade 7840</t>
  </si>
  <si>
    <t>HPE SN4000B SAN Extension Switch</t>
  </si>
  <si>
    <t>16 Gb 24-FC ports, 16 10GbE ports, 2 40GbE ports extension switch</t>
  </si>
  <si>
    <t>149</t>
  </si>
  <si>
    <t>Brocade 6546</t>
  </si>
  <si>
    <t>16 Gb 24-port Blade Server SAN I/O Module</t>
  </si>
  <si>
    <t>150</t>
  </si>
  <si>
    <t>Brocade 6545</t>
  </si>
  <si>
    <t>16 Gb 26-port Blade Server SAN I/O Module</t>
  </si>
  <si>
    <t>156</t>
  </si>
  <si>
    <t>Brocade 6543</t>
  </si>
  <si>
    <t>157</t>
  </si>
  <si>
    <t>Brocade 6558/6559</t>
  </si>
  <si>
    <t>Brocade 16Gb Fibre Channel SAN Switch Module for HPE Synergy</t>
  </si>
  <si>
    <t>Brocade 16Gb 48-port Fibre Channel SAN Switch Module for HPE Synergy</t>
  </si>
  <si>
    <t>158</t>
  </si>
  <si>
    <t>HPE Virtual Connect SE 16GB FC Module</t>
  </si>
  <si>
    <t>HPE Virtual Connect SE 16GB FC Module for HPE Synergy</t>
  </si>
  <si>
    <t>Brocade G620</t>
  </si>
  <si>
    <t>HPE SN6600B Fibre Channel Switch</t>
  </si>
  <si>
    <t>Gen6</t>
  </si>
  <si>
    <t>32 Gb 48-port switch</t>
  </si>
  <si>
    <t>CONDOR4</t>
  </si>
  <si>
    <t>183</t>
  </si>
  <si>
    <t>Brocade G620v2</t>
  </si>
  <si>
    <t>166</t>
  </si>
  <si>
    <t>Brocade X6-8 Director</t>
  </si>
  <si>
    <t>HPE SN8600B 8-Slot</t>
  </si>
  <si>
    <t>32 Gbps 384-ports SAN Director</t>
  </si>
  <si>
    <t>165</t>
  </si>
  <si>
    <t>Brocade X6-4 Director</t>
  </si>
  <si>
    <t>HPE SN8600B 4-Slot</t>
  </si>
  <si>
    <t>32 Gbps 192-ports SAN Director</t>
  </si>
  <si>
    <t>Brocade G610</t>
  </si>
  <si>
    <t>HPE SN3600B Fibre Channel Switch</t>
  </si>
  <si>
    <t>32 Gb 24-port switch</t>
  </si>
  <si>
    <t>GEYE4</t>
  </si>
  <si>
    <t>173</t>
  </si>
  <si>
    <t>Brocade G630</t>
  </si>
  <si>
    <t>HPE SN6650B Fibre Channel Switch</t>
  </si>
  <si>
    <t>32 Gb 128-port switch</t>
  </si>
  <si>
    <t>175</t>
  </si>
  <si>
    <t>Brocade MXG610s</t>
  </si>
  <si>
    <t>32 Gbit 32-port Blade Server SAN I/O Module</t>
  </si>
  <si>
    <t>176</t>
  </si>
  <si>
    <t>Brocade G648</t>
  </si>
  <si>
    <t>Brocade 32Gb Fibre Channel SAN Switch Module for HPE Synergy</t>
  </si>
  <si>
    <t>Brocade 32Gb 40-port Fibre Channel SAN Switch Module for HPE Synergy</t>
  </si>
  <si>
    <t>177</t>
  </si>
  <si>
    <t>Brocade G649</t>
  </si>
  <si>
    <t>178</t>
  </si>
  <si>
    <t>Brocade 7810 Extension Switch</t>
  </si>
  <si>
    <t>HPE SN2600B  SAN Extension Switch</t>
  </si>
  <si>
    <t>32 Gb 12-FC ports, 6 10GbE ports ports extension switch</t>
  </si>
  <si>
    <t>184</t>
  </si>
  <si>
    <t>Brocade G630v2</t>
  </si>
  <si>
    <t>6</t>
  </si>
  <si>
    <t>CONDOR5</t>
  </si>
  <si>
    <t>180</t>
  </si>
  <si>
    <t>Brocade X7-8 Director</t>
  </si>
  <si>
    <t>HPE SN8700B 8-Slot</t>
  </si>
  <si>
    <t>Gen7</t>
  </si>
  <si>
    <t>64 Gbps 384-ports SAN Director</t>
  </si>
  <si>
    <t>179</t>
  </si>
  <si>
    <t>Brocade X7-4 Director</t>
  </si>
  <si>
    <t>HPE SN8700B 4-Slot</t>
  </si>
  <si>
    <t>64 Gbps 192-ports SAN Director</t>
  </si>
  <si>
    <t>181</t>
  </si>
  <si>
    <t>Brocade G720</t>
  </si>
  <si>
    <t>HPE SN6700B Fibre Channel Switch</t>
  </si>
  <si>
    <t>64 Gb 56-port switch</t>
  </si>
  <si>
    <r>
      <rPr>
        <b/>
        <sz val="11"/>
        <color rgb="FF000000"/>
        <rFont val="Calibri"/>
        <family val="2"/>
        <charset val="1"/>
      </rPr>
      <t>SAN graph</t>
    </r>
    <r>
      <rPr>
        <sz val="11"/>
        <color rgb="FF000000"/>
        <rFont val="Calibri"/>
        <family val="2"/>
        <charset val="1"/>
      </rPr>
      <t xml:space="preserve"> details</t>
    </r>
  </si>
  <si>
    <t>switchClass_mode</t>
  </si>
  <si>
    <t>switchClass_weight</t>
  </si>
  <si>
    <t>graph_level</t>
  </si>
  <si>
    <t>master_shape</t>
  </si>
  <si>
    <t>y_graph_level</t>
  </si>
  <si>
    <t>x_group_offset</t>
  </si>
  <si>
    <t>y_group_offset</t>
  </si>
  <si>
    <t>x_shape_offset</t>
  </si>
  <si>
    <t>y_shape_offset</t>
  </si>
  <si>
    <t>core</t>
  </si>
  <si>
    <t>dir_8slot</t>
  </si>
  <si>
    <t>DIR_4SLOT</t>
  </si>
  <si>
    <t>dir_4slot</t>
  </si>
  <si>
    <t>2</t>
  </si>
  <si>
    <t>edge</t>
  </si>
  <si>
    <t>sw_enterprise</t>
  </si>
  <si>
    <t>sw_middle</t>
  </si>
  <si>
    <t>MID AG</t>
  </si>
  <si>
    <t>3</t>
  </si>
  <si>
    <t>ag</t>
  </si>
  <si>
    <t>sw_embedded</t>
  </si>
  <si>
    <t>sw_entry</t>
  </si>
  <si>
    <t>ENTRY AG</t>
  </si>
  <si>
    <t>EMB AG</t>
  </si>
  <si>
    <t>NPV</t>
  </si>
  <si>
    <t>sw_npv</t>
  </si>
  <si>
    <t>VC</t>
  </si>
  <si>
    <t>vc</t>
  </si>
  <si>
    <t>FD</t>
  </si>
  <si>
    <t>fcr_fd</t>
  </si>
  <si>
    <t>XD</t>
  </si>
  <si>
    <t>fcr_xd</t>
  </si>
  <si>
    <t>UNKNOWN</t>
  </si>
  <si>
    <t>sw_unknown</t>
  </si>
  <si>
    <t>STORAGE</t>
  </si>
  <si>
    <t>storage</t>
  </si>
  <si>
    <t>LIB</t>
  </si>
  <si>
    <t>library</t>
  </si>
  <si>
    <t>SRV</t>
  </si>
  <si>
    <t>host</t>
  </si>
  <si>
    <t>hba</t>
  </si>
  <si>
    <t>SRV_BLADE</t>
  </si>
  <si>
    <t>bladehba</t>
  </si>
  <si>
    <t>SRV_SYNERGY</t>
  </si>
  <si>
    <t>UNKNOWN_DEV</t>
  </si>
  <si>
    <t>Transceiver_PN</t>
  </si>
  <si>
    <t>Transceiver_speedMax</t>
  </si>
  <si>
    <t>Transceiver_category</t>
  </si>
  <si>
    <t>Transceiver_distanceMax</t>
  </si>
  <si>
    <t>Transceiver_switch_gen</t>
  </si>
  <si>
    <t>AJ715A</t>
  </si>
  <si>
    <t>sw</t>
  </si>
  <si>
    <t>normal</t>
  </si>
  <si>
    <t>sfp</t>
  </si>
  <si>
    <t>AJ716A</t>
  </si>
  <si>
    <t>AJ716B</t>
  </si>
  <si>
    <t>Gen4, Gen5</t>
  </si>
  <si>
    <t>AJ717A</t>
  </si>
  <si>
    <t>lw</t>
  </si>
  <si>
    <t>10 km</t>
  </si>
  <si>
    <t>AW538A</t>
  </si>
  <si>
    <t>25 km</t>
  </si>
  <si>
    <t>57-0000088-01</t>
  </si>
  <si>
    <t>Gen6, Gen5</t>
  </si>
  <si>
    <t>57-1000117-01</t>
  </si>
  <si>
    <t>57-1000046-01</t>
  </si>
  <si>
    <t>x</t>
  </si>
  <si>
    <t>FTLF8524P2BNV</t>
  </si>
  <si>
    <t>4Gb, Gen4</t>
  </si>
  <si>
    <t>FTRJ8524P2BNV</t>
  </si>
  <si>
    <t>57-1000012-01</t>
  </si>
  <si>
    <t>57-1000013-01</t>
  </si>
  <si>
    <t>QK725A</t>
  </si>
  <si>
    <t>Gen5, Gen6</t>
  </si>
  <si>
    <t>QK724A</t>
  </si>
  <si>
    <t>57-1000333-01</t>
  </si>
  <si>
    <t>P9H32A</t>
  </si>
  <si>
    <t>P9H29A</t>
  </si>
  <si>
    <t>H6Z29A</t>
  </si>
  <si>
    <t>AFBR-57R5AEZ</t>
  </si>
  <si>
    <t>AFCT-57R5ATPZ</t>
  </si>
  <si>
    <t>AFCT-57R5APZ</t>
  </si>
  <si>
    <t>FTLF1324P2BTV-B1</t>
  </si>
  <si>
    <t>4 km</t>
  </si>
  <si>
    <t>JSH-42L3AB3-20</t>
  </si>
  <si>
    <t>XBR-8GFC-40KM-47</t>
  </si>
  <si>
    <t>40 km</t>
  </si>
  <si>
    <t>XBR-8GFC-40KM-49</t>
  </si>
  <si>
    <t>XBR-8GFC-40-1590</t>
  </si>
  <si>
    <t>XBR-8GFC-40-1610</t>
  </si>
  <si>
    <t>57-1000331-01</t>
  </si>
  <si>
    <t>57-1000351-01</t>
  </si>
  <si>
    <t>qsfp</t>
  </si>
  <si>
    <t>57-1000480-01</t>
  </si>
  <si>
    <t>2 km</t>
  </si>
  <si>
    <t>Gen6, Gen7</t>
  </si>
  <si>
    <t>57-0000089-01</t>
  </si>
  <si>
    <t>57-1000027-01</t>
  </si>
  <si>
    <t>57-1000027-02</t>
  </si>
  <si>
    <t>57-1000294-01</t>
  </si>
  <si>
    <t>57-1000294-02</t>
  </si>
  <si>
    <t>57-1000267-01</t>
  </si>
  <si>
    <t>57-1000310-01</t>
  </si>
  <si>
    <t>57-0000090-01</t>
  </si>
  <si>
    <t>AFBR-57R6AEZ-HP</t>
  </si>
  <si>
    <t>JSHR42L3062B5</t>
  </si>
  <si>
    <t>unknown</t>
  </si>
  <si>
    <t>57-1000485-01</t>
  </si>
  <si>
    <t>Connected_oui</t>
  </si>
  <si>
    <t>type</t>
  </si>
  <si>
    <t>subtype</t>
  </si>
  <si>
    <t>00:27:f8</t>
  </si>
  <si>
    <t>SWITCH</t>
  </si>
  <si>
    <t>BROCADE</t>
  </si>
  <si>
    <t>00:60:69</t>
  </si>
  <si>
    <t>50:eb:1a</t>
  </si>
  <si>
    <t>88:94:71</t>
  </si>
  <si>
    <t>c4:f5:7c</t>
  </si>
  <si>
    <t>d8:1f:cc</t>
  </si>
  <si>
    <t>00:21:88</t>
  </si>
  <si>
    <t>EMC</t>
  </si>
  <si>
    <t>00:e0:02</t>
  </si>
  <si>
    <t>LIB CTRL</t>
  </si>
  <si>
    <t>08:c0:02</t>
  </si>
  <si>
    <t>QUANTUM</t>
  </si>
  <si>
    <t>08:c0:a0</t>
  </si>
  <si>
    <t>18:81:08</t>
  </si>
  <si>
    <t>18:82:08</t>
  </si>
  <si>
    <t>18:86:09</t>
  </si>
  <si>
    <t>18:87:09</t>
  </si>
  <si>
    <t>18:81:36</t>
  </si>
  <si>
    <t>43:82:c6</t>
  </si>
  <si>
    <t>ULT</t>
  </si>
  <si>
    <t>ac:16:2d</t>
  </si>
  <si>
    <t>SRV|LIB</t>
  </si>
  <si>
    <t>HP|HP</t>
  </si>
  <si>
    <t>00:00:c9</t>
  </si>
  <si>
    <t>EMULEX</t>
  </si>
  <si>
    <t>00:10:9b</t>
  </si>
  <si>
    <t>00:0e:1e</t>
  </si>
  <si>
    <t>QLOGIC</t>
  </si>
  <si>
    <t>00:1a:4b</t>
  </si>
  <si>
    <t>HP</t>
  </si>
  <si>
    <t>00:1b:32</t>
  </si>
  <si>
    <t>00:90:fa</t>
  </si>
  <si>
    <t>00:e0:8b</t>
  </si>
  <si>
    <t>08:b2:00</t>
  </si>
  <si>
    <t>0b:00:00</t>
  </si>
  <si>
    <t>10:a0:00</t>
  </si>
  <si>
    <t>SRV|LIB DRV</t>
  </si>
  <si>
    <t>43:80:02</t>
  </si>
  <si>
    <t>43:80:05</t>
  </si>
  <si>
    <t>43:80:06</t>
  </si>
  <si>
    <t>43:80:07</t>
  </si>
  <si>
    <t>43:80:09</t>
  </si>
  <si>
    <t>43:80:10</t>
  </si>
  <si>
    <t>43:80:14</t>
  </si>
  <si>
    <t>QLOGIC|ULT</t>
  </si>
  <si>
    <t>43:80:18</t>
  </si>
  <si>
    <t>43:80:21</t>
  </si>
  <si>
    <t>43:80:22</t>
  </si>
  <si>
    <t>43:80:26</t>
  </si>
  <si>
    <t>43:80:27</t>
  </si>
  <si>
    <t>43:80:28</t>
  </si>
  <si>
    <t>43:80:29</t>
  </si>
  <si>
    <t>43:80:31</t>
  </si>
  <si>
    <t>43:80:33</t>
  </si>
  <si>
    <t>QLOGIC|StoreOnce</t>
  </si>
  <si>
    <t>5c:f9:dd</t>
  </si>
  <si>
    <t>98:f2:b3</t>
  </si>
  <si>
    <t>HPE</t>
  </si>
  <si>
    <t>e0:d8:48</t>
  </si>
  <si>
    <t>e0:db:55</t>
  </si>
  <si>
    <t>f4:e9:d4</t>
  </si>
  <si>
    <t>00:05:1e</t>
  </si>
  <si>
    <t>SRV|SWITCH</t>
  </si>
  <si>
    <t>00:05:33</t>
  </si>
  <si>
    <t>00:24:ff</t>
  </si>
  <si>
    <t>SRV|STORAGE</t>
  </si>
  <si>
    <t>QLOGIC|NetApp</t>
  </si>
  <si>
    <t>43:80:00</t>
  </si>
  <si>
    <t>SRV|MSA</t>
  </si>
  <si>
    <t>43:80:01</t>
  </si>
  <si>
    <t>SRV|UNKNOWN</t>
  </si>
  <si>
    <t>43:80:04</t>
  </si>
  <si>
    <t>QLOGIC|EVA</t>
  </si>
  <si>
    <t>00:02:ac</t>
  </si>
  <si>
    <t>3Par</t>
  </si>
  <si>
    <t>02:02:ac</t>
  </si>
  <si>
    <t>00:a0:98</t>
  </si>
  <si>
    <t>NetApp</t>
  </si>
  <si>
    <t>00:a0:b8</t>
  </si>
  <si>
    <t>d0:39:ea</t>
  </si>
  <si>
    <t>00:80:e5</t>
  </si>
  <si>
    <t>09:83:80</t>
  </si>
  <si>
    <t>09:84:80</t>
  </si>
  <si>
    <t>00:c0:ff</t>
  </si>
  <si>
    <t>MSA</t>
  </si>
  <si>
    <t>00:d0:23</t>
  </si>
  <si>
    <t>INFORTREND</t>
  </si>
  <si>
    <t>01:60:09</t>
  </si>
  <si>
    <t>01:60:3d</t>
  </si>
  <si>
    <t>01:60:3e</t>
  </si>
  <si>
    <t>01:60:44</t>
  </si>
  <si>
    <t>01:60:47</t>
  </si>
  <si>
    <t>01:61:3d</t>
  </si>
  <si>
    <t>01:61:3e</t>
  </si>
  <si>
    <t>01:61:44</t>
  </si>
  <si>
    <t>01:61:47</t>
  </si>
  <si>
    <t>01:62:3e</t>
  </si>
  <si>
    <t>01:62:47</t>
  </si>
  <si>
    <t>01:63:47</t>
  </si>
  <si>
    <t>01:64:09</t>
  </si>
  <si>
    <t>01:64:3d</t>
  </si>
  <si>
    <t>01:64:44</t>
  </si>
  <si>
    <t>01:64:47</t>
  </si>
  <si>
    <t>01:65:09</t>
  </si>
  <si>
    <t>01:65:44</t>
  </si>
  <si>
    <t>01:65:47</t>
  </si>
  <si>
    <t>01:66:3d</t>
  </si>
  <si>
    <t>01:66:44</t>
  </si>
  <si>
    <t>01:66:47</t>
  </si>
  <si>
    <t>01:67:44</t>
  </si>
  <si>
    <t>01:67:47</t>
  </si>
  <si>
    <t>01:68:09</t>
  </si>
  <si>
    <t>01:68:3d</t>
  </si>
  <si>
    <t>01:68:3e</t>
  </si>
  <si>
    <t>01:68:44</t>
  </si>
  <si>
    <t>01:68:47</t>
  </si>
  <si>
    <t>01:69:3d</t>
  </si>
  <si>
    <t>01:69:3e</t>
  </si>
  <si>
    <t>01:69:44</t>
  </si>
  <si>
    <t>01:69:47</t>
  </si>
  <si>
    <t>01:6a:3e</t>
  </si>
  <si>
    <t>01:6a:47</t>
  </si>
  <si>
    <t>01:6b:47</t>
  </si>
  <si>
    <t>01:6c:09</t>
  </si>
  <si>
    <t>01:6c:3d</t>
  </si>
  <si>
    <t>01:6c:44</t>
  </si>
  <si>
    <t>01:6c:47</t>
  </si>
  <si>
    <t>01:6d:09</t>
  </si>
  <si>
    <t>01:6d:44</t>
  </si>
  <si>
    <t>01:6d:47</t>
  </si>
  <si>
    <t>01:6e:3d</t>
  </si>
  <si>
    <t>01:6e:44</t>
  </si>
  <si>
    <t>01:6e:47</t>
  </si>
  <si>
    <t>01:6f:44</t>
  </si>
  <si>
    <t>01:6f:47</t>
  </si>
  <si>
    <t>01:68:36</t>
  </si>
  <si>
    <t>01:6a:36</t>
  </si>
  <si>
    <t>01:60:36</t>
  </si>
  <si>
    <t>01:62:36</t>
  </si>
  <si>
    <t>01:62:48</t>
  </si>
  <si>
    <t>DELL EMC</t>
  </si>
  <si>
    <t>01:6a:48</t>
  </si>
  <si>
    <t>01:6b:48</t>
  </si>
  <si>
    <t>01:63:48</t>
  </si>
  <si>
    <t>01:69:36</t>
  </si>
  <si>
    <t>01:6b:36</t>
  </si>
  <si>
    <t>01:63:36</t>
  </si>
  <si>
    <t>01:61:36</t>
  </si>
  <si>
    <t>01:6b:49</t>
  </si>
  <si>
    <t>01:6a:49</t>
  </si>
  <si>
    <t>01:63:49</t>
  </si>
  <si>
    <t>01:62:49</t>
  </si>
  <si>
    <t>01:64:08</t>
  </si>
  <si>
    <t>01:6c:08</t>
  </si>
  <si>
    <t>01:62:08</t>
  </si>
  <si>
    <t>01:69:08</t>
  </si>
  <si>
    <t>01:65:08</t>
  </si>
  <si>
    <t>01:6d:08</t>
  </si>
  <si>
    <t>01:61:08</t>
  </si>
  <si>
    <t>01:6a:08</t>
  </si>
  <si>
    <t>01:68:39</t>
  </si>
  <si>
    <t>01:68:30</t>
  </si>
  <si>
    <t>01:60:39</t>
  </si>
  <si>
    <t>01:69:39</t>
  </si>
  <si>
    <t>01:69:30</t>
  </si>
  <si>
    <t>01:61:39</t>
  </si>
  <si>
    <t>01:6e:09</t>
  </si>
  <si>
    <t>01:69:09</t>
  </si>
  <si>
    <t>01:66:09</t>
  </si>
  <si>
    <t>01:6a:09</t>
  </si>
  <si>
    <t>01:62:09</t>
  </si>
  <si>
    <t>01:61:09</t>
  </si>
  <si>
    <t>01:60:08</t>
  </si>
  <si>
    <t>01:68:08</t>
  </si>
  <si>
    <t>01:64:36</t>
  </si>
  <si>
    <t>01:6c:36</t>
  </si>
  <si>
    <t>09:75:a8</t>
  </si>
  <si>
    <t>01:6d:36</t>
  </si>
  <si>
    <t>01:63:09</t>
  </si>
  <si>
    <t>01:65:36</t>
  </si>
  <si>
    <t>01:6b:09</t>
  </si>
  <si>
    <t>01:67:09</t>
  </si>
  <si>
    <t>01:6f:36</t>
  </si>
  <si>
    <t>01:67:36</t>
  </si>
  <si>
    <t>01:6f:09</t>
  </si>
  <si>
    <t>05:f3:00</t>
  </si>
  <si>
    <t>08:b3:00</t>
  </si>
  <si>
    <t>0e:80:04</t>
  </si>
  <si>
    <t>HITACHI</t>
  </si>
  <si>
    <t>0e:80:05</t>
  </si>
  <si>
    <t>0e:80:10</t>
  </si>
  <si>
    <t>0e:80:12</t>
  </si>
  <si>
    <t>0e:80:13</t>
  </si>
  <si>
    <t>0e:80:22</t>
  </si>
  <si>
    <t>0e:80:15</t>
  </si>
  <si>
    <t>XP</t>
  </si>
  <si>
    <t>0e:80:16</t>
  </si>
  <si>
    <t>0e:80:08</t>
  </si>
  <si>
    <t>0e:80:07</t>
  </si>
  <si>
    <t>1f:e1:50</t>
  </si>
  <si>
    <t>EVA</t>
  </si>
  <si>
    <t>2a:c0:01</t>
  </si>
  <si>
    <t>2a:c0:02</t>
  </si>
  <si>
    <t>2a:c1:01</t>
  </si>
  <si>
    <t>2a:c1:02</t>
  </si>
  <si>
    <t>43:80:11</t>
  </si>
  <si>
    <t>STORAGE|LIB</t>
  </si>
  <si>
    <t>EVA|D2D</t>
  </si>
  <si>
    <t>b0:f0:00</t>
  </si>
  <si>
    <t>INFINIDAT</t>
  </si>
  <si>
    <t>d3:10:04</t>
  </si>
  <si>
    <t>DELL</t>
  </si>
  <si>
    <t>c8:1f:66</t>
  </si>
  <si>
    <t>2e:c0:00</t>
  </si>
  <si>
    <t>2e:c0:01</t>
  </si>
  <si>
    <t>2e:c0:11</t>
  </si>
  <si>
    <t>43:80:03</t>
  </si>
  <si>
    <t>SRV|STORAGE|LIB</t>
  </si>
  <si>
    <t>QLOGIC|UNKNOWN|ULT</t>
  </si>
  <si>
    <t>43:80:12</t>
  </si>
  <si>
    <t>43:80:13</t>
  </si>
  <si>
    <t>43:80:16</t>
  </si>
  <si>
    <t>43:80:36</t>
  </si>
  <si>
    <t>43:80:24</t>
  </si>
  <si>
    <t>QLOGIC|EVA|StoreOnce</t>
  </si>
  <si>
    <t>00:11:0a</t>
  </si>
  <si>
    <t>VC FLEX</t>
  </si>
  <si>
    <t>00:24:81</t>
  </si>
  <si>
    <t>VC FC</t>
  </si>
  <si>
    <t>74:46:a0</t>
  </si>
  <si>
    <t>f4:ce:46</t>
  </si>
  <si>
    <t>00:14:38</t>
  </si>
  <si>
    <t>1d:e0:32</t>
  </si>
  <si>
    <t>VLS</t>
  </si>
  <si>
    <t>07:68:0c</t>
  </si>
  <si>
    <t>IBM</t>
  </si>
  <si>
    <t>07:68:0b</t>
  </si>
  <si>
    <t>07:68:02</t>
  </si>
  <si>
    <t>07:68:10</t>
  </si>
  <si>
    <t>07:68:03</t>
  </si>
  <si>
    <t>07:68:0d</t>
  </si>
  <si>
    <t>07:68:0e</t>
  </si>
  <si>
    <t>07:60:5e</t>
  </si>
  <si>
    <t>07:63:0f</t>
  </si>
  <si>
    <t>e1:11:58</t>
  </si>
  <si>
    <t>e1:11:56</t>
  </si>
  <si>
    <t>e1:11:75</t>
  </si>
  <si>
    <t>04:f0:00</t>
  </si>
  <si>
    <t>ORACLE</t>
  </si>
  <si>
    <t>14:42:a0</t>
  </si>
  <si>
    <t>14:42:b0</t>
  </si>
  <si>
    <t>8c:7c:ff</t>
  </si>
  <si>
    <t>43:80:23</t>
  </si>
  <si>
    <t>43:80:34</t>
  </si>
  <si>
    <t>SRV|StoreOnce</t>
  </si>
  <si>
    <t>00:13:21</t>
  </si>
  <si>
    <t>ESL</t>
  </si>
  <si>
    <t>1c:98:ec</t>
  </si>
  <si>
    <t>e0:07:1b</t>
  </si>
  <si>
    <t>9c:dc:71</t>
  </si>
  <si>
    <t>EMULEX|QLOGIC</t>
  </si>
  <si>
    <t>b6:93:73</t>
  </si>
  <si>
    <t>00:3a:9c</t>
  </si>
  <si>
    <t>CISCO</t>
  </si>
  <si>
    <t>00:de:fb</t>
  </si>
  <si>
    <t>8c:60:4f</t>
  </si>
  <si>
    <t>00:2a:6a</t>
  </si>
  <si>
    <t>00:05:73</t>
  </si>
  <si>
    <t>54:7f:ee</t>
  </si>
  <si>
    <t>00:25:b5</t>
  </si>
  <si>
    <t>00:25:b6</t>
  </si>
  <si>
    <t>Telecom FM</t>
  </si>
  <si>
    <t>62:da:dd</t>
  </si>
  <si>
    <t>SYNERGY</t>
  </si>
  <si>
    <t>34:80:0d</t>
  </si>
  <si>
    <t>b8:85:84</t>
  </si>
  <si>
    <t>e4:f0:04</t>
  </si>
  <si>
    <t>00:0c:29</t>
  </si>
  <si>
    <t>VMWARE</t>
  </si>
  <si>
    <t>00:05:69</t>
  </si>
  <si>
    <t>68:4f:64</t>
  </si>
  <si>
    <t>d3:10:05</t>
  </si>
  <si>
    <t>08:f1:ea</t>
  </si>
  <si>
    <t>2e:c0:12</t>
  </si>
  <si>
    <t>2e:c0:13</t>
  </si>
  <si>
    <t>80:30:e0</t>
  </si>
  <si>
    <t>10:60:4b</t>
  </si>
  <si>
    <t>9c:b6:54</t>
  </si>
  <si>
    <t>c4:34:6b</t>
  </si>
  <si>
    <t>14:58:d0</t>
  </si>
  <si>
    <t>ec:b1:d7</t>
  </si>
  <si>
    <t>8c:dc:d4</t>
  </si>
  <si>
    <t>f4:03:43</t>
  </si>
  <si>
    <t>f0:92:1c</t>
  </si>
  <si>
    <t>76:08:87</t>
  </si>
  <si>
    <t>76:0b:76</t>
  </si>
  <si>
    <t>76:0a:d5</t>
  </si>
  <si>
    <t>76:0b:3c</t>
  </si>
  <si>
    <t>76:09:df</t>
  </si>
  <si>
    <t>76:02:97</t>
  </si>
  <si>
    <t>76:04:b5</t>
  </si>
  <si>
    <t>76:03:51</t>
  </si>
  <si>
    <t>76:03:6d</t>
  </si>
  <si>
    <t>76:07:63</t>
  </si>
  <si>
    <t>76:0b:3d</t>
  </si>
  <si>
    <t>76:0a:d4</t>
  </si>
  <si>
    <t>76:07:60</t>
  </si>
  <si>
    <t>76:03:96</t>
  </si>
  <si>
    <t>76:07:ef</t>
  </si>
  <si>
    <t>76:06:d4</t>
  </si>
  <si>
    <t>76:04:c5</t>
  </si>
  <si>
    <t>76:0a:5f</t>
  </si>
  <si>
    <t>76:09:44</t>
  </si>
  <si>
    <t>76:0a:01</t>
  </si>
  <si>
    <t>76:06:d2</t>
  </si>
  <si>
    <t>76:0a:1d</t>
  </si>
  <si>
    <t>76:07:62</t>
  </si>
  <si>
    <t>76:07:66</t>
  </si>
  <si>
    <t>76:07:b7</t>
  </si>
  <si>
    <t>76:07:b6</t>
  </si>
  <si>
    <t>76:08:d2</t>
  </si>
  <si>
    <t>2e:c0:14</t>
  </si>
  <si>
    <t>44:1e:a1</t>
  </si>
  <si>
    <t>5c:b9:01</t>
  </si>
  <si>
    <t>6c:3b:e5</t>
  </si>
  <si>
    <t>b4:b5:2f</t>
  </si>
  <si>
    <t>20:67:7c</t>
  </si>
  <si>
    <t>d0:67:26</t>
  </si>
  <si>
    <t>6c:c2:17</t>
  </si>
  <si>
    <t>d8:9d:67</t>
  </si>
  <si>
    <t>ce:b4:d8</t>
  </si>
  <si>
    <t>52:9e:b9</t>
  </si>
  <si>
    <t>2e:c0:15</t>
  </si>
  <si>
    <t>QLOGIC|LIB DRV</t>
  </si>
  <si>
    <t>08:c3:a2</t>
  </si>
  <si>
    <t>08:c0:9c</t>
  </si>
  <si>
    <t>00:0e:11</t>
  </si>
  <si>
    <t>00:e0:da</t>
  </si>
  <si>
    <t>FUJITSU</t>
  </si>
  <si>
    <t>b0:e2:41</t>
  </si>
  <si>
    <t>3e:55:71</t>
  </si>
  <si>
    <t>ce:90:66</t>
  </si>
  <si>
    <t>NIMBLE</t>
  </si>
  <si>
    <t>ce:90:e9</t>
  </si>
  <si>
    <t>4c:20:00</t>
  </si>
  <si>
    <t>00:e0:d4</t>
  </si>
  <si>
    <t>3c:4a:92</t>
  </si>
  <si>
    <t>09:81:81</t>
  </si>
  <si>
    <t>09:81:91</t>
  </si>
  <si>
    <t>09:81:80</t>
  </si>
  <si>
    <t>09:82:81</t>
  </si>
  <si>
    <t>09:82:91</t>
  </si>
  <si>
    <t>09:82:80</t>
  </si>
  <si>
    <t>70:fd:45</t>
  </si>
  <si>
    <t>HUAWEI</t>
  </si>
  <si>
    <t>78:17:be</t>
  </si>
  <si>
    <t>04:8c:16</t>
  </si>
  <si>
    <t>24:a5:2c</t>
  </si>
  <si>
    <t>30:e9:8e</t>
  </si>
  <si>
    <t>f4:79:60</t>
  </si>
  <si>
    <t>b4:43:26</t>
  </si>
  <si>
    <t>HUAWEI|HUAWEI</t>
  </si>
  <si>
    <t>01:70:00</t>
  </si>
  <si>
    <t>14:42:d0</t>
  </si>
  <si>
    <t>14:42:c0</t>
  </si>
  <si>
    <t>94:18:82</t>
  </si>
  <si>
    <t>00:c0:dd</t>
  </si>
  <si>
    <t>04:b0:e7</t>
  </si>
  <si>
    <t>44:6a:2e</t>
  </si>
  <si>
    <t>2c:9d:1e</t>
  </si>
  <si>
    <t>a0:f4:79</t>
  </si>
  <si>
    <t>14:30:04</t>
  </si>
  <si>
    <t>78:d7:52</t>
  </si>
  <si>
    <t>9c:71:3a</t>
  </si>
  <si>
    <t>84:46:fe</t>
  </si>
  <si>
    <t>08:4f:0a</t>
  </si>
  <si>
    <t>c8:1f:be</t>
  </si>
  <si>
    <t>68:cc:6e</t>
  </si>
  <si>
    <t>2c:59:e5</t>
  </si>
  <si>
    <t>a4:00:e2</t>
  </si>
  <si>
    <t>c4:ff:1f</t>
  </si>
  <si>
    <t>44:a1:91</t>
  </si>
  <si>
    <t>ac:61:75</t>
  </si>
  <si>
    <t>48:d5:39</t>
  </si>
  <si>
    <t>f4:4c:7f</t>
  </si>
  <si>
    <t>c0:bf:c0</t>
  </si>
  <si>
    <t>2c:55:d3</t>
  </si>
  <si>
    <t>a0:08:6f</t>
  </si>
  <si>
    <t>c8:8d:83</t>
  </si>
  <si>
    <t>5c:e8:83</t>
  </si>
  <si>
    <t>e0:00:84</t>
  </si>
  <si>
    <t>84:a9:c4</t>
  </si>
  <si>
    <t>48:fd:8e</t>
  </si>
  <si>
    <t>04:33:89</t>
  </si>
  <si>
    <t>48:f8:db</t>
  </si>
  <si>
    <t>f4:1d:6b</t>
  </si>
  <si>
    <t>cc:bb:fe</t>
  </si>
  <si>
    <t>50:1d:93</t>
  </si>
  <si>
    <t>34:6a:c2</t>
  </si>
  <si>
    <t>04:fe:8d</t>
  </si>
  <si>
    <t>40:7d:0f</t>
  </si>
  <si>
    <t>ac:f9:70</t>
  </si>
  <si>
    <t>3c:e8:24</t>
  </si>
  <si>
    <t>a0:8c:f8</t>
  </si>
  <si>
    <t>f4:a4:d6</t>
  </si>
  <si>
    <t>c0:ff:a8</t>
  </si>
  <si>
    <t>e0:cc:7a</t>
  </si>
  <si>
    <t>8c:68:3a</t>
  </si>
  <si>
    <t>74:5a:aa</t>
  </si>
  <si>
    <t>10:c3:ab</t>
  </si>
  <si>
    <t>d4:b1:10</t>
  </si>
  <si>
    <t>14:09:dc</t>
  </si>
  <si>
    <t>fc:bc:d1</t>
  </si>
  <si>
    <t>f8:98:ef</t>
  </si>
  <si>
    <t>ac:75:1d</t>
  </si>
  <si>
    <t>80:69:33</t>
  </si>
  <si>
    <t>60:de:f3</t>
  </si>
  <si>
    <t>STORAGE|SWITCH</t>
  </si>
  <si>
    <t>60:fa:9d</t>
  </si>
  <si>
    <t>d0:c6:5b</t>
  </si>
  <si>
    <t>24:16:6d</t>
  </si>
  <si>
    <t>60:f1:8a</t>
  </si>
  <si>
    <t>7c:c3:85</t>
  </si>
  <si>
    <t>48:57:02</t>
  </si>
  <si>
    <t>ec:4d:47</t>
  </si>
  <si>
    <t>70:c7:f2</t>
  </si>
  <si>
    <t>a4:be:2b</t>
  </si>
  <si>
    <t>4c:f5:5b</t>
  </si>
  <si>
    <t>c8:a7:76</t>
  </si>
  <si>
    <t>fc:15:b4</t>
  </si>
  <si>
    <t>38:63:bb</t>
  </si>
  <si>
    <t>3c:d9:2b</t>
  </si>
  <si>
    <t>e8:39:35</t>
  </si>
  <si>
    <t>94:40:c9</t>
  </si>
  <si>
    <t>b4:7a:f1</t>
  </si>
  <si>
    <t>58:25:75</t>
  </si>
  <si>
    <t>88:3f:d3</t>
  </si>
  <si>
    <t>c8:c4:65</t>
  </si>
  <si>
    <t>a8:2b:cd</t>
  </si>
  <si>
    <t>f8:75:88</t>
  </si>
  <si>
    <t>38:eb:47</t>
  </si>
  <si>
    <t>e4:83:26</t>
  </si>
  <si>
    <t>6a:15:3a</t>
  </si>
  <si>
    <t>00:25:d5</t>
  </si>
  <si>
    <t>ROBONICA</t>
  </si>
  <si>
    <t>06:41:5c</t>
  </si>
  <si>
    <t>34:a2:a2</t>
  </si>
  <si>
    <t>a8:f5:ac</t>
  </si>
  <si>
    <t>18:cf:24</t>
  </si>
  <si>
    <t>40:ee:dd</t>
  </si>
  <si>
    <t>2e:c0:17</t>
  </si>
  <si>
    <t>80:b5:75</t>
  </si>
  <si>
    <t>70:8c:b6</t>
  </si>
  <si>
    <t>54:13:10</t>
  </si>
  <si>
    <t>f4:e5:f2</t>
  </si>
  <si>
    <t>2c:97:b1</t>
  </si>
  <si>
    <t>e0:97:96</t>
  </si>
  <si>
    <t>04:f9:38</t>
  </si>
  <si>
    <t>18:de:d7</t>
  </si>
  <si>
    <t>d0:ef:c1</t>
  </si>
  <si>
    <t>4c:f9:5d</t>
  </si>
  <si>
    <t>3c:78:43</t>
  </si>
  <si>
    <t>9c:74:1a</t>
  </si>
  <si>
    <t>8c:42:6d</t>
  </si>
  <si>
    <t>3c:9d:56</t>
  </si>
  <si>
    <t>78:b4:6a</t>
  </si>
  <si>
    <t>20:ab:48</t>
  </si>
  <si>
    <t>9c:52:f8</t>
  </si>
  <si>
    <t>cc:64:a6</t>
  </si>
  <si>
    <t>1c:20:db</t>
  </si>
  <si>
    <t>e4:3e:c6</t>
  </si>
  <si>
    <t>6c:eb:b6</t>
  </si>
  <si>
    <t>18:56:44</t>
  </si>
  <si>
    <t>e0:28:61</t>
  </si>
  <si>
    <t>params_required_to_extract</t>
  </si>
  <si>
    <t>pattern_num</t>
  </si>
  <si>
    <t>pattern_name</t>
  </si>
  <si>
    <t>line_start_stop</t>
  </si>
  <si>
    <t>pattern_value</t>
  </si>
  <si>
    <t>lines example</t>
  </si>
  <si>
    <t>chassis_params</t>
  </si>
  <si>
    <t>chassis_params_add</t>
  </si>
  <si>
    <t>chassis_columns</t>
  </si>
  <si>
    <t>module used in</t>
  </si>
  <si>
    <t>chassis_slot_columns</t>
  </si>
  <si>
    <t>switchcmd_configshow</t>
  </si>
  <si>
    <t>^(/fabos/cliexec/|/bin/cat /var/log/)?configshow *-?(all)? *:$</t>
  </si>
  <si>
    <t>/bin/cat /var/log/configshowall:</t>
  </si>
  <si>
    <t>date</t>
  </si>
  <si>
    <t>[Configuration upload Information]</t>
  </si>
  <si>
    <t>configname</t>
  </si>
  <si>
    <t>switch_params, portcmd</t>
  </si>
  <si>
    <t>Number of LS</t>
  </si>
  <si>
    <t>ams_maps_log</t>
  </si>
  <si>
    <t>chassis.licenseID</t>
  </si>
  <si>
    <t>chassis_param</t>
  </si>
  <si>
    <t>^([\w .-]+) ?(?:=|:) ?([-\w. :;/]+)$</t>
  </si>
  <si>
    <t>Number of LS = 4, system.i2cTurboCnfg:1</t>
  </si>
  <si>
    <t>config_collection_date</t>
  </si>
  <si>
    <t>ssn</t>
  </si>
  <si>
    <t>chassis_name</t>
  </si>
  <si>
    <t>FOS version</t>
  </si>
  <si>
    <t>Number_of_LS</t>
  </si>
  <si>
    <t>switch_params</t>
  </si>
  <si>
    <t>vf_id</t>
  </si>
  <si>
    <t>LS_IDs</t>
  </si>
  <si>
    <t>FabricID</t>
  </si>
  <si>
    <t>chassis_wwn</t>
  </si>
  <si>
    <t>snmp.snmpv3TrapTarget.0.trapTargetAddr</t>
  </si>
  <si>
    <t>snmp.snmpv3TrapTarget.1.trapTargetAddr</t>
  </si>
  <si>
    <t>FOS_version</t>
  </si>
  <si>
    <t>snmp.snmpv3TrapTarget.2.trapTargetAddr</t>
  </si>
  <si>
    <t>snmp.snmpv3TrapTarget.3.trapTargetAddr</t>
  </si>
  <si>
    <t>snmp_target</t>
  </si>
  <si>
    <t>^(snmp.(?:snmpv3TrapTarget|agtParty).\d.(?:trapTargetAddr|address)):((?:[0-9]{1,3}\.){3}[0-9]{1,3})$</t>
  </si>
  <si>
    <t>snmp.snmpv3TrapTarget.0.trapTargetAddr:10.99.245.222</t>
  </si>
  <si>
    <t>snmp_server</t>
  </si>
  <si>
    <t>snmp.agtParty.5.address:172.16.5.186</t>
  </si>
  <si>
    <t>snmp.accessList.1.address:10.64.128.34</t>
  </si>
  <si>
    <t>snmp.snmpv3TrapTarget.4.trapTargetAddr</t>
  </si>
  <si>
    <t>snmp.snmpv3TrapTarget.5.trapTargetAddr</t>
  </si>
  <si>
    <t>syslog.address.1</t>
  </si>
  <si>
    <t>syslog</t>
  </si>
  <si>
    <t>^(syslog.address.\d):([\d.]+)$</t>
  </si>
  <si>
    <t>syslog.address.1:10.99.116.66</t>
  </si>
  <si>
    <t>syslog_server</t>
  </si>
  <si>
    <t>syslog.address.2</t>
  </si>
  <si>
    <t>ts.tz</t>
  </si>
  <si>
    <t>timezone</t>
  </si>
  <si>
    <t>ts.tzh</t>
  </si>
  <si>
    <t>timezone_h</t>
  </si>
  <si>
    <t>timezone_h:m</t>
  </si>
  <si>
    <t>ts.tzm</t>
  </si>
  <si>
    <t>timezone_m</t>
  </si>
  <si>
    <t>system.cpuLoad</t>
  </si>
  <si>
    <t>fos.sddqChassisLimit</t>
  </si>
  <si>
    <t>system.Enable.bladeAutoRecovery</t>
  </si>
  <si>
    <t>system.i2cTurboCnfg</t>
  </si>
  <si>
    <t>system.intPortCrdRecov</t>
  </si>
  <si>
    <t>bottleneck.BECreditLossFaultingBlade</t>
  </si>
  <si>
    <t>fcRoute.backboneFabricId</t>
  </si>
  <si>
    <t>maps.migrated</t>
  </si>
  <si>
    <t>maps.netmon.enabled</t>
  </si>
  <si>
    <t>[Chassis Configuration End]</t>
  </si>
  <si>
    <t>switchcmd_configshow_end</t>
  </si>
  <si>
    <t>switchcmd_uptime</t>
  </si>
  <si>
    <t>^(CHASSISCMD|SWITCHCMD)? *(/fabos/cliexec/)?uptime *:$</t>
  </si>
  <si>
    <t>/fabos/cliexec/uptime:</t>
  </si>
  <si>
    <t>CHASSISCMD /fabos/cliexec/uptime: (for future pattern rplcmnt)</t>
  </si>
  <si>
    <t>SWITCHCMD /fabos/cliexec/uptime: (for future pattern rplcmnt)</t>
  </si>
  <si>
    <t>uptime</t>
  </si>
  <si>
    <t>uptime_cpu</t>
  </si>
  <si>
    <t>CHASSISCMD /fabos/cliexec/uptime:</t>
  </si>
  <si>
    <t>^ *(?:[\d:]){5,8} +up +(?:(\d+) +days?,?)? *(?:(?:\d+ min)|[\d:]{4,5}), +\d+ +users?, +load +average: +(?:[\d.]+, +){2}([\d.]+)$</t>
  </si>
  <si>
    <t>09:46:50 up 75 days, 22:29, 1 user, load average: 7.38, 3.83, 2.00</t>
  </si>
  <si>
    <t>uptime_days</t>
  </si>
  <si>
    <t>16:32:04 up 104 days, 21:28, 0 users, load average: 0.80, 0.20, 0.06</t>
  </si>
  <si>
    <t>14:45 up 586 days 17:03, 1 user, load average: 0.76, 0.29, 0.14</t>
  </si>
  <si>
    <t>08:29:13 up 3001 days, 10 min,  1 user,  load average: 1.25, 0.60, 0.22</t>
  </si>
  <si>
    <t>06:25:40 up 12:55, 1 user, load average: 1.39, 0.65, 0.25</t>
  </si>
  <si>
    <t>15:12:29 up 997 days, 2:03, 1 user, load average: 1.67, 0.60, 0.22</t>
  </si>
  <si>
    <t>16:24:49 up 13 min, 1 user, load average: 2.04, 1.26, 0.76</t>
  </si>
  <si>
    <t>cpu_average_load</t>
  </si>
  <si>
    <t>real 0m0.031s</t>
  </si>
  <si>
    <t>11:47:11 up 1 day, 1:47, 1 user, load average: 0.15, 0.08, 0.01</t>
  </si>
  <si>
    <t>chassiscmd_meminfo</t>
  </si>
  <si>
    <t>^(/bin/)?(cat\s+)?/proc/meminfo\s*:$</t>
  </si>
  <si>
    <t>/bin/cat /proc/meminfo :</t>
  </si>
  <si>
    <t>CHASSISCMD /bin/cat /proc/meminfo : (for future pattern rplcmnt)</t>
  </si>
  <si>
    <t>memory_usage</t>
  </si>
  <si>
    <t>memory</t>
  </si>
  <si>
    <t>CHASSISCMD /bin/cat /proc/meminfo:</t>
  </si>
  <si>
    <t>^(\w+):\s+(\d+)\s+kB$</t>
  </si>
  <si>
    <t>MemTotal: 504348 kB</t>
  </si>
  <si>
    <t>real 0m0.002s</t>
  </si>
  <si>
    <t>chassiscmd_flash</t>
  </si>
  <si>
    <t>^(/bin/)?df\s*:$</t>
  </si>
  <si>
    <t>/bin/df:</t>
  </si>
  <si>
    <t>CHASSISCMD /bin/df: (for future pattern rplcmnt)</t>
  </si>
  <si>
    <t>flash_usage</t>
  </si>
  <si>
    <t>flash</t>
  </si>
  <si>
    <t>CHASSISCMD /bin/df:</t>
  </si>
  <si>
    <t>^/dev/root\s+\d+\s+\d+\s+\d+\s+(\d+)%\s+/$</t>
  </si>
  <si>
    <t>/dev/root  394440    207140    166940  55% /</t>
  </si>
  <si>
    <t>switchcmd_ipaddrshow</t>
  </si>
  <si>
    <t>^(/fabos/link_bin/)?ipaddrshow *:$</t>
  </si>
  <si>
    <t>/fabos/link_bin/ipaddrshow:</t>
  </si>
  <si>
    <t>SWITCHCMD /fabos/link_bin/ipaddrshow: (for future pattern rplcmnt)</t>
  </si>
  <si>
    <t>CHASSISCMD /fabos/link_bin/ipaddrshow: (for future pattern rplcmnt)</t>
  </si>
  <si>
    <t>dhcp</t>
  </si>
  <si>
    <t>CHASSISCMD /fabos/link_bin/ipaddrshow:</t>
  </si>
  <si>
    <t>^(DHCP): *(On|Off)$</t>
  </si>
  <si>
    <t>DHCP: On</t>
  </si>
  <si>
    <t>DHCP</t>
  </si>
  <si>
    <t>real 0m0.031s | ** SS CMD END **</t>
  </si>
  <si>
    <t>chassiscmd_licenseshow</t>
  </si>
  <si>
    <t>^(/fabos/cliexec/)?licenseshow *:$</t>
  </si>
  <si>
    <t>/fabos/cliexec/licenseshow:</t>
  </si>
  <si>
    <t>CHASSISCMD /fabos/cliexec/licenseshow: (for future pattern rplcmnt)</t>
  </si>
  <si>
    <t>licenseshow:</t>
  </si>
  <si>
    <t>licenses</t>
  </si>
  <si>
    <t>license</t>
  </si>
  <si>
    <t>CHASSISCMD /fabos/cliexec/licenseshow:</t>
  </si>
  <si>
    <t>Extended Fabric license</t>
  </si>
  <si>
    <t>san_switch_report_tables, san_isl_report_tables</t>
  </si>
  <si>
    <t>** SS CMD END **, real 0m0.007s</t>
  </si>
  <si>
    <t>No licenses installed.</t>
  </si>
  <si>
    <t>Capacity 8</t>
  </si>
  <si>
    <t>Server Application Optimization - obsolete license</t>
  </si>
  <si>
    <t>Performance Monitor (Fabric Vision capable) license</t>
  </si>
  <si>
    <t>chassiscmd_licenseshow_end</t>
  </si>
  <si>
    <t>^(real [\w.]+)|(\*\* SS CMD END \*\*)|(/fabos/etc/licenses: *)</t>
  </si>
  <si>
    <t>cat -v /fabos/etc/licenses:</t>
  </si>
  <si>
    <t>chassiscmd_slotshow</t>
  </si>
  <si>
    <t>CHASSISCMD /fabos/cliexec/slotshow -m:</t>
  </si>
  <si>
    <t>^ *((?:CHASSISCMD|SWITCHCMD) /fabos/cliexec/)?slotshow +-m *:</t>
  </si>
  <si>
    <t>SWITCHCMD /fabos/cliexec/slotshow -d576:</t>
  </si>
  <si>
    <t>slot</t>
  </si>
  <si>
    <t>slot_status</t>
  </si>
  <si>
    <t>^ *(\d+) +([\w ]+?) +(?:(\d+) +((?:CP|FC|CR|SX)[\w\-]+))? +(.+)</t>
  </si>
  <si>
    <t xml:space="preserve">  1     CP BLADE    175     CPX6           ENABLED</t>
  </si>
  <si>
    <t>blade_type</t>
  </si>
  <si>
    <t xml:space="preserve">  3     SW BLADE    178     FC32-48        ENABLED</t>
  </si>
  <si>
    <t>sw_blade_type</t>
  </si>
  <si>
    <t>blade_type_id</t>
  </si>
  <si>
    <t xml:space="preserve">  7     CORE BLADE  177     CR32-8         ENABLED</t>
  </si>
  <si>
    <t>sw_blade_id</t>
  </si>
  <si>
    <t>blade_model</t>
  </si>
  <si>
    <t xml:space="preserve">  4     UNKNOWN                            VACANT</t>
  </si>
  <si>
    <t>sw_blade_model</t>
  </si>
  <si>
    <t>blade_status</t>
  </si>
  <si>
    <t>sw_blade_status</t>
  </si>
  <si>
    <t>section_fabric</t>
  </si>
  <si>
    <t>Section *: +SSHOW_FABRIC</t>
  </si>
  <si>
    <t>| Section: SSHOW_FABRIC |</t>
  </si>
  <si>
    <t>switchcmd_dom</t>
  </si>
  <si>
    <t>^(SWITCHCMD /fabos/cliexec/)?dom *:$|Non-VF</t>
  </si>
  <si>
    <t>SWITCHCMD /fabos/cliexec/dom :</t>
  </si>
  <si>
    <t>Non-VF</t>
  </si>
  <si>
    <t>current_context</t>
  </si>
  <si>
    <t>CURRENT +CONTEXT +-- +(\d+) *, \d+</t>
  </si>
  <si>
    <t>CURRENT CONTEXT -- 1, 101</t>
  </si>
  <si>
    <t>switch_type</t>
  </si>
  <si>
    <t>^switchType: +(\d+)(?:\.\d+)? *</t>
  </si>
  <si>
    <t>switchType: 166.0</t>
  </si>
  <si>
    <t>switchcmd_end</t>
  </si>
  <si>
    <t>^(real [\w.]+)|(\*\* SS CMD END \*\*)$</t>
  </si>
  <si>
    <t>real 0m3.176s</t>
  </si>
  <si>
    <t>switch_params_add</t>
  </si>
  <si>
    <t>switch_columns</t>
  </si>
  <si>
    <t>switch module used in</t>
  </si>
  <si>
    <t>switchshow_portinfo_columns</t>
  </si>
  <si>
    <t>switchshow module used in</t>
  </si>
  <si>
    <t>fabricshow, portinfo, isl</t>
  </si>
  <si>
    <t>fabric_labels, fabrics_statistics</t>
  </si>
  <si>
    <t>switch_index</t>
  </si>
  <si>
    <t>ls_mode</t>
  </si>
  <si>
    <t>LS_mode</t>
  </si>
  <si>
    <t>switchName</t>
  </si>
  <si>
    <t>SwitchName</t>
  </si>
  <si>
    <t>0</t>
  </si>
  <si>
    <t>switch_configshow_param</t>
  </si>
  <si>
    <t>[Switch Configuration Begin : 0]</t>
  </si>
  <si>
    <t>SwitchName = swDC_62r</t>
  </si>
  <si>
    <t>switchWwn</t>
  </si>
  <si>
    <t>Fabric ID</t>
  </si>
  <si>
    <t>Fabric_ID</t>
  </si>
  <si>
    <t>fabricshow</t>
  </si>
  <si>
    <t>switchState</t>
  </si>
  <si>
    <t>boot.name</t>
  </si>
  <si>
    <t>boot.ipa</t>
  </si>
  <si>
    <t>switchMode</t>
  </si>
  <si>
    <t>boot.licid</t>
  </si>
  <si>
    <t>boot.mac</t>
  </si>
  <si>
    <t>boot.gateway.ipa</t>
  </si>
  <si>
    <t>fabric.domain</t>
  </si>
  <si>
    <t>fabric.ididmode</t>
  </si>
  <si>
    <t>route.delayReroute</t>
  </si>
  <si>
    <t>route.lossless</t>
  </si>
  <si>
    <t>route.stickyRoutes</t>
  </si>
  <si>
    <t>rte.external_policy</t>
  </si>
  <si>
    <t>switch.edgeHoldTime</t>
  </si>
  <si>
    <t>switch.login.enforce_login</t>
  </si>
  <si>
    <t>ts.clockServerList</t>
  </si>
  <si>
    <t>fabric.principalSwSelMode</t>
  </si>
  <si>
    <t>zoning.targetPeerZoning</t>
  </si>
  <si>
    <t>enable</t>
  </si>
  <si>
    <t>enabled_zoning_config</t>
  </si>
  <si>
    <t>defzone</t>
  </si>
  <si>
    <t>bottleneck.enabled</t>
  </si>
  <si>
    <t>maps.enabled</t>
  </si>
  <si>
    <t>maps.actions</t>
  </si>
  <si>
    <t>maps.activePolicy</t>
  </si>
  <si>
    <t>fabric.ops.BBCredit</t>
  </si>
  <si>
    <t>fabric.ops.E_D_TOV</t>
  </si>
  <si>
    <t>fabric.ops.R_A_TOV</t>
  </si>
  <si>
    <t>fabric.ops.bladeFault_on_hwErrlevel</t>
  </si>
  <si>
    <t>fabric.ops.dataFieldSize</t>
  </si>
  <si>
    <t>fabric.ops.max_hops</t>
  </si>
  <si>
    <t>fabric.ops.mode.fcpProbeDisable</t>
  </si>
  <si>
    <t>fabric.ops.mode.isolate</t>
  </si>
  <si>
    <t>fabric.ops.mode.longDistance</t>
  </si>
  <si>
    <t>fabric.ops.mode.noClassF</t>
  </si>
  <si>
    <t>fabric.ops.mode.pidFormat</t>
  </si>
  <si>
    <t>fabric.ops.mode.tachyonCompat</t>
  </si>
  <si>
    <t>fabric.ops.mode.unicastOnly</t>
  </si>
  <si>
    <t>fabric.ops.mode.useCsCtl</t>
  </si>
  <si>
    <t>fabric.ops.vc.class.2</t>
  </si>
  <si>
    <t>fabric.ops.vc.class.3</t>
  </si>
  <si>
    <t>fabric.ops.vc.config</t>
  </si>
  <si>
    <t>fabric.ops.vc.linkCtrl</t>
  </si>
  <si>
    <t>fabric.ops.vc.multicast</t>
  </si>
  <si>
    <t>fabric.ops.wan_tov</t>
  </si>
  <si>
    <t>oemLogo</t>
  </si>
  <si>
    <t>[Switch Configuration End : 0]</t>
  </si>
  <si>
    <t>switchcmd_switchshow</t>
  </si>
  <si>
    <t>^(SWITCHCMD /fabos/bin/)?switchshow *:$</t>
  </si>
  <si>
    <t>SWITCHCMD /fabos/bin/switchshow :</t>
  </si>
  <si>
    <t>switchshow_param</t>
  </si>
  <si>
    <t>/fabos/bin/switchshow :</t>
  </si>
  <si>
    <t>^([\w .-]+): *([\w ()-:]+)$</t>
  </si>
  <si>
    <t>switchName: swDC_141def</t>
  </si>
  <si>
    <t>switchType: 120.0</t>
  </si>
  <si>
    <t>switchState: Offline  (Persistent)</t>
  </si>
  <si>
    <t>switcshow</t>
  </si>
  <si>
    <t>switchMode: Native</t>
  </si>
  <si>
    <t>isl, switcshow</t>
  </si>
  <si>
    <t>switchRole</t>
  </si>
  <si>
    <t>switchRole: Disabled</t>
  </si>
  <si>
    <t>fabricshow, isl</t>
  </si>
  <si>
    <t>switchDomain</t>
  </si>
  <si>
    <t>switchDomain: 1 (unconfirmed)</t>
  </si>
  <si>
    <t>switchId</t>
  </si>
  <si>
    <t>switchId: fffc01</t>
  </si>
  <si>
    <t>switchWwn: 10:00:00:27:f8:7b:18:00</t>
  </si>
  <si>
    <t>zoning:  OFF</t>
  </si>
  <si>
    <t>switchBeacon</t>
  </si>
  <si>
    <t>switchBeacon: OFF</t>
  </si>
  <si>
    <t>FC Router</t>
  </si>
  <si>
    <t>FC Router: OFF</t>
  </si>
  <si>
    <t>FC_Router</t>
  </si>
  <si>
    <t>FC Router BB Fabric ID</t>
  </si>
  <si>
    <t>FC Router BB Fabric ID: 1</t>
  </si>
  <si>
    <t>FC_Router_BB_Fabric_ID</t>
  </si>
  <si>
    <t>Address Mode</t>
  </si>
  <si>
    <t>Address Mode: 0</t>
  </si>
  <si>
    <t>Address_Mode</t>
  </si>
  <si>
    <t>Fabric Name</t>
  </si>
  <si>
    <t>Fabric Name: 110</t>
  </si>
  <si>
    <t>Fabric_Name</t>
  </si>
  <si>
    <t>HIF Mode</t>
  </si>
  <si>
    <t>HIF Mode: OFF</t>
  </si>
  <si>
    <t>HIF_Mode</t>
  </si>
  <si>
    <t>Allow XISL Use</t>
  </si>
  <si>
    <t>Allow XISL Use: OFF</t>
  </si>
  <si>
    <t>Allow_XISL_Use</t>
  </si>
  <si>
    <t>Base Switch</t>
  </si>
  <si>
    <t>ls_attr</t>
  </si>
  <si>
    <t>^LS +Attributes: +\[FID: +\d+, +([\w]+ +Switch): +(\w+), +([\w]+ +Switch): +(\w+), +([\w]+ +Switch): +(\w+), +(Address +Mode) +(\d+)\]</t>
  </si>
  <si>
    <t>LS Attributes: [FID: 128, Base Switch: No, Default Switch: Yes, Ficon Switch: No, Address Mode 0]</t>
  </si>
  <si>
    <t>Base_Switch</t>
  </si>
  <si>
    <t>^LS Attributes: \[[\w]+: \d+, +(Base Switch): +([\w]+), (Default Switch): +([\w]+),( (Ficon Switch): +([\w]+),)? (Address Mode) (\d)\]$</t>
  </si>
  <si>
    <t>Default Switch</t>
  </si>
  <si>
    <t>Default_Switch</t>
  </si>
  <si>
    <t>Ficon Switch</t>
  </si>
  <si>
    <t>Ficon_Switch</t>
  </si>
  <si>
    <t>PortIndex</t>
  </si>
  <si>
    <t>switchshow_portinfo</t>
  </si>
  <si>
    <t>^\s+(\d{1,4})\s+(?:([\d-]{0,2})\s+)?(\d{1,3})\s+([\da-f-]{6})?\s*(cu|id|--)\s+([-UANG\d]+)\s+(\w+) *(FC|FCIP|FCoE)? *([LS VGDFENX]+-Port)? *((?:[0-9a-f]{2}:){7}[0-9a-f]{2})* *(0x[\da-f]{6})? *([\d \w+(),"=-]+)?</t>
  </si>
  <si>
    <t xml:space="preserve"> 341   10   37   70aa80   id    N8    Online      FC  F-Port  22:22:00:02:ac:00:6f:76</t>
  </si>
  <si>
    <t>portIndex</t>
  </si>
  <si>
    <t>^\s+(\d{1,4})\s+([\d-]{0,2})\s+(\d{1,3})\s+([\da-f-]+)\s+(cu|id|--)\s+([-UANG\d]+)\s+(\w+)\s+(\w+) *([LS VGDFENX]+-Port)? *([\d\w]{2}:[\d\w]{2}:[\d\w]{2}:[\d\w]{2}:[\d\w]{2}:[\d\w]{2}:[\d\w]{2}:[\d\w]{2})* (0x[\da-f]{6})* *([\d \w+(),"=-]*)</t>
  </si>
  <si>
    <t>7   7   010700   id    N16    Mod_Inv     FC  "Speed Mismatch / Incompatible SFP"</t>
  </si>
  <si>
    <t>fabrics_statistics</t>
  </si>
  <si>
    <t>^\s+(\d{1,4})\s+([\d-]{0,2})?\s+(\d{1,3})\s+([\da-f-]{6})?\s*(cu|id|--)\s+([-UANG\d]+)\s+(\w+) *(FC|FCIP|FCoE)? *([LS VGDFENX]+-Port)? *([\d\w]{2}:[\d\w]{2}:[\d\w]{2}:[\d\w]{2}:[\d\w]{2}:[\d\w]{2}:[\d\w]{2}:[\d\w]{2})* (0x[\da-f]{6})* *([\d \w+(),"=-]*)</t>
  </si>
  <si>
    <t>port</t>
  </si>
  <si>
    <t>address</t>
  </si>
  <si>
    <t>media</t>
  </si>
  <si>
    <t>speed</t>
  </si>
  <si>
    <t>state</t>
  </si>
  <si>
    <t>proto</t>
  </si>
  <si>
    <t>port_type</t>
  </si>
  <si>
    <t>portType</t>
  </si>
  <si>
    <t>fabric_labels, fabric_statistics</t>
  </si>
  <si>
    <t>connected_port_wwn</t>
  </si>
  <si>
    <t>connected_portWwn</t>
  </si>
  <si>
    <t>ag_fcid</t>
  </si>
  <si>
    <t>connection_details</t>
  </si>
  <si>
    <t>real 0m0.154s</t>
  </si>
  <si>
    <t>maps_params</t>
  </si>
  <si>
    <t>maps_params_add</t>
  </si>
  <si>
    <t>maps_columns</t>
  </si>
  <si>
    <t>ams_maps_config</t>
  </si>
  <si>
    <t>AMS/MAPS Data Switch</t>
  </si>
  <si>
    <t>.+?[= ]*AMS/MAPS *Data *Switch *(\d+)[= ]*$</t>
  </si>
  <si>
    <t>AMS/MAPS Data Switch 0</t>
  </si>
  <si>
    <t>var/log/AMS_MAPS_LOG_00000640000000000011300000650230414213070624013347 0ustar  rootadmin======== AMS/MAPS Data Switch 0 ========================</t>
  </si>
  <si>
    <t>global_dashborad_header</t>
  </si>
  <si>
    <t>^[- ]*MAPS +Global +Monitoring +Configuration[ -]*$</t>
  </si>
  <si>
    <t>----- MAPS Global Monitoring Configuration ------</t>
  </si>
  <si>
    <t>Configured Notifications</t>
  </si>
  <si>
    <t>dashborad_param</t>
  </si>
  <si>
    <t>MAPS Global Monitoring Configuration</t>
  </si>
  <si>
    <t>^ *([\w &lt;&gt;()-]+):\s*([\w,/ ()_@:.]+)%?$</t>
  </si>
  <si>
    <t>Configured Notifications: SW_CRITICAL,SW_MARGINAL</t>
  </si>
  <si>
    <t>Configured_Notifications</t>
  </si>
  <si>
    <t>Mail Recipient</t>
  </si>
  <si>
    <t>Mail_Recipient</t>
  </si>
  <si>
    <t>Raslog Mode</t>
  </si>
  <si>
    <t>Raslog_Mode</t>
  </si>
  <si>
    <t>FPI Monitoring</t>
  </si>
  <si>
    <t>FPI_Monitoring</t>
  </si>
  <si>
    <t>Decom Action Config</t>
  </si>
  <si>
    <t>Decom_Action_Config</t>
  </si>
  <si>
    <t>DB start time</t>
  </si>
  <si>
    <t>DB_start_time</t>
  </si>
  <si>
    <t>Active policy</t>
  </si>
  <si>
    <t>Active_policy</t>
  </si>
  <si>
    <t>Fenced Ports</t>
  </si>
  <si>
    <t>Fenced_Ports</t>
  </si>
  <si>
    <t>Decommissioned Ports</t>
  </si>
  <si>
    <t>Decommissioned_Ports</t>
  </si>
  <si>
    <t>Fenced circuits</t>
  </si>
  <si>
    <t>Fenced_circuits</t>
  </si>
  <si>
    <t>Quarantined Ports</t>
  </si>
  <si>
    <t>Quarantined_Ports</t>
  </si>
  <si>
    <t>Top Zoned PIDs &lt;pid(it-flows)&gt;</t>
  </si>
  <si>
    <t>Top_Zoned_PIDs</t>
  </si>
  <si>
    <t>Current Switch Policy Status</t>
  </si>
  <si>
    <t>Current_Switch_Policy_Status</t>
  </si>
  <si>
    <t>Port Health</t>
  </si>
  <si>
    <t>summary_report</t>
  </si>
  <si>
    <t>^([\w]+ [\w ]+)\|[\w ]+\|([\w ]+)\|$</t>
  </si>
  <si>
    <t>Port Health |No Errors|No Errors|</t>
  </si>
  <si>
    <t>Port_Health</t>
  </si>
  <si>
    <t>BE Port Health</t>
  </si>
  <si>
    <t>BE_Port_Health</t>
  </si>
  <si>
    <t>GE Port Health</t>
  </si>
  <si>
    <t>no_lic</t>
  </si>
  <si>
    <t>^Fabric vision license not present.</t>
  </si>
  <si>
    <t>Fabric vision license not present.</t>
  </si>
  <si>
    <t>GE_Port_Health</t>
  </si>
  <si>
    <t>Fru Health</t>
  </si>
  <si>
    <t>Fru_Health</t>
  </si>
  <si>
    <t>Security Violations</t>
  </si>
  <si>
    <t>Security_Violations</t>
  </si>
  <si>
    <t>Fabric State Changes</t>
  </si>
  <si>
    <t>Fabric_State_Changes</t>
  </si>
  <si>
    <t>Switch Resource</t>
  </si>
  <si>
    <t>Switch_Resource</t>
  </si>
  <si>
    <t>Traffic Performance</t>
  </si>
  <si>
    <t>Traffic_Performance</t>
  </si>
  <si>
    <t>FCIP Health</t>
  </si>
  <si>
    <t>FCIP_Health</t>
  </si>
  <si>
    <t>Fabric Performance Impact</t>
  </si>
  <si>
    <t>Fabric_Performance_Impact</t>
  </si>
  <si>
    <t>CPU Usage</t>
  </si>
  <si>
    <t>CPU Usage   : 17.0%</t>
  </si>
  <si>
    <t>CPU_Usage</t>
  </si>
  <si>
    <t>Memory Usage</t>
  </si>
  <si>
    <t>Memory_Usage</t>
  </si>
  <si>
    <t>Flash Usage</t>
  </si>
  <si>
    <t>NM Data</t>
  </si>
  <si>
    <t>Flash_Usage</t>
  </si>
  <si>
    <t>maps_end</t>
  </si>
  <si>
    <t>^[- ]*NM +Data[- ]*$</t>
  </si>
  <si>
    <t>----- NM Data ------</t>
  </si>
  <si>
    <t>params</t>
  </si>
  <si>
    <t>params_add</t>
  </si>
  <si>
    <t>errdump_columns</t>
  </si>
  <si>
    <t>Section: SSHOW_EX</t>
  </si>
  <si>
    <t>errdump_start</t>
  </si>
  <si>
    <t>CHASSISCMD /fabos/cliexec/errdump -a:</t>
  </si>
  <si>
    <t>^((CHASSISCMD|SWITCHCMD)? */fabos/cliexec/)?errdump -a *: *$</t>
  </si>
  <si>
    <t>Message_date</t>
  </si>
  <si>
    <t>SWITCHCMD /fabos/cliexec/errdump -a:</t>
  </si>
  <si>
    <t>/fabos/cliexec/errdump -a       :</t>
  </si>
  <si>
    <t>Message_ID</t>
  </si>
  <si>
    <t>errdump_message</t>
  </si>
  <si>
    <t>^(\d{4}/\d{2}/\d{2}-\d{2}:\d{2}:\d{2}), +\[(.+?)], (\d+), (.+?), (\w+), ([\w.-]+), +(.+?). *$</t>
  </si>
  <si>
    <t xml:space="preserve">2018/12/27-16:58:40, [ZONE-1022], 735, FID 128, INFO, msk-sap-hdb28-sansw2, The effective configuration has changed to cfg1.   </t>
  </si>
  <si>
    <t>External_sequence_number</t>
  </si>
  <si>
    <t>Security_audit_flag</t>
  </si>
  <si>
    <t>Severity</t>
  </si>
  <si>
    <t>Message</t>
  </si>
  <si>
    <t>description</t>
  </si>
  <si>
    <t>module_applied</t>
  </si>
  <si>
    <t>dataframe_applied</t>
  </si>
  <si>
    <t>column_applied</t>
  </si>
  <si>
    <t>result</t>
  </si>
  <si>
    <t>portIndex portType slotNumber portNumber</t>
  </si>
  <si>
    <t>errdump_statistics</t>
  </si>
  <si>
    <t>errdump_df</t>
  </si>
  <si>
    <t>port_idx_slot_number</t>
  </si>
  <si>
    <t>(?:[FNETU]X?_PORT\.(\d+)\.)?(?:[\w-]+)?(?:, *)?([FNTEU]X?-Port) (\d+(?=/))?/?(\d+)</t>
  </si>
  <si>
    <t>port1, F-Port 1, Condition=ALL_PORTS(DEV_LATENCY_IMPACT==IO_PERF_IMPACT)</t>
  </si>
  <si>
    <t>1 F-Port None 1</t>
  </si>
  <si>
    <t>(?:(?:[FEU]_)?(?:PORT|port)\.?(\d+)\.?)?([\w-]+)?(?:, )?([FEU]-Port) (\d+(?=/))?/?(\d+)</t>
  </si>
  <si>
    <t>port17, N-Port 17, Condition=NON_E_F_PORTS(RX/min&gt;95.00)</t>
  </si>
  <si>
    <t>srv902_C4_T1, U-Port 69, Condition=ALL_PORTS(SFP_STATE==OUT)</t>
  </si>
  <si>
    <t>None U-Port None 69</t>
  </si>
  <si>
    <t>(?:[FEU]X?_PORT\.(\d+)\.)?(?:[\w-]+)?(?:, *)?([FEU]X?-Port) (\d+(?=/))?/?(\d+)</t>
  </si>
  <si>
    <t>6510_trunk, E-Port 48, Condition=ALL_PORTS(DEV_LATENCY_IMPACT==IO_PERF_IMPACT)</t>
  </si>
  <si>
    <t>None 6510_trunk E-Port None 48</t>
  </si>
  <si>
    <t xml:space="preserve">swDC_141.F_PORT.269., F-Port 1/45, Condition=ALL_HOST_PORTS(TX/hour&gt;60.00), </t>
  </si>
  <si>
    <t>269 F-Port 1 45</t>
  </si>
  <si>
    <t>F-Port 1/45, Condition=ALL_HOST_PORTS(TX/min&gt;95.00)</t>
  </si>
  <si>
    <t>None F-Port 1 45</t>
  </si>
  <si>
    <t xml:space="preserve">swDC_141.E_PORT.180., E-Port 4/20, Condition=ALL_PORTS(DEV_LATENCY_IMPACT==IO_LATENCY_CLEAR), </t>
  </si>
  <si>
    <t>180 E-Port 4 20</t>
  </si>
  <si>
    <t>swDC_141.F_PORT.236.p7400a_224, F-Port 11/28, Condition=ALL_TARGET_PORTS(RX/hour&gt;60.00)</t>
  </si>
  <si>
    <t>236 p7400a_224 11 28</t>
  </si>
  <si>
    <t>swDC_62.F_PORT.75.msk-pm-db03, F-Port 9/11, Condition=ALL_HOST_PORTS(TX/hour&gt;90.00)</t>
  </si>
  <si>
    <t>slot4 port6,  EX-Port 4/6, Condition=ALL_PORTS(DEV_LATENCY_IMPACT==IO_PERF_IMPACT)</t>
  </si>
  <si>
    <t>slot1 port1, E-Port 1/1, Condition=ALL_E_PORTS(STATE_CHG/min&gt;11)</t>
  </si>
  <si>
    <t>Connected FCID</t>
  </si>
  <si>
    <t>pid</t>
  </si>
  <si>
    <t>Pid 0x(.+?), Condition</t>
  </si>
  <si>
    <t>Pid 0x79b5c0, Condition=ALL_LOCAL_PIDS(IT_FLOW&gt;8)</t>
  </si>
  <si>
    <t>79b5c0</t>
  </si>
  <si>
    <t>Event slot portIndex</t>
  </si>
  <si>
    <t>event_slot_portidx</t>
  </si>
  <si>
    <t>(.+)on(?: Port)? S(?:lot )?(\d+), ?P(?:ort )?(\d+)\(\d+\)</t>
  </si>
  <si>
    <t>Link Reset on Port S4,P53(26) vc_no=0 crd(s)lost=3 auto trigger</t>
  </si>
  <si>
    <t>Link Reset 4 53</t>
  </si>
  <si>
    <t>Single RDY/Frame Loss detected and recovered on Slot 4,Port 53(26) rdy(0x0)/frame(0x4)</t>
  </si>
  <si>
    <t>Single RDY/Frame Loss detected and recovered 4 53</t>
  </si>
  <si>
    <t>Multi RDY/Frame Loss detected on Slot 4, Port 53(26) m_rdy(0x3)/m_frame(0x0). Link Reset done</t>
  </si>
  <si>
    <t>Multi RDY/Frame Loss detected 4 53</t>
  </si>
  <si>
    <t>Event portIndex</t>
  </si>
  <si>
    <t>event_portidx</t>
  </si>
  <si>
    <t>^([P|p]ort (\d+),? [a-zA-Z ]+)$</t>
  </si>
  <si>
    <t>Port 69 Faulted because of many Link Failures</t>
  </si>
  <si>
    <t>Port 69 Faulted because of many Link Failures 69</t>
  </si>
  <si>
    <t>^(Port (\d+) [a-zA-Z ]+)$</t>
  </si>
  <si>
    <t>Port 26 chip failed due to an internal error</t>
  </si>
  <si>
    <t>port 17, Zone conflict</t>
  </si>
  <si>
    <t>bottleneck detected slot port</t>
  </si>
  <si>
    <t>bottleneck_detected</t>
  </si>
  <si>
    <t>((?:Latency|Congestion|) bottleneck) on (?:\w-)?(?:P|p)ort (?:(\d+)/)?(\d+)\. +(.+)</t>
  </si>
  <si>
    <t>Congestion bottleneck on port 0/43. 80.00 pct. of 300 secs. Affected</t>
  </si>
  <si>
    <t>Congestion bottleneck 0 43  80.00 pct. of 300 secs. Affected</t>
  </si>
  <si>
    <t>Latency bottleneck on port 0/13. 0.00 pct. of 300 secs. affected. Avg. delay 0 us. Avg. slowdown 0</t>
  </si>
  <si>
    <t>Latency bottleneck 0 13 0.00 pct. of 300 secs. affected. Avg. delay 0 us. Avg. slowdown 0</t>
  </si>
  <si>
    <t>Latency bottleneck on E-Port 23. 0.00 pct. of 300 secs. affected. Avg. delay 0 us. Avg. slowdown 0</t>
  </si>
  <si>
    <t>slot port bottleneck cleared</t>
  </si>
  <si>
    <t>bottleneck_cleared</t>
  </si>
  <si>
    <t>(?:Slot (\d+), )?(?:P|p)ort (\d+) has ((?:Latency|Congestion) bottleneck cleared)</t>
  </si>
  <si>
    <t>Slot 0, port 13 has Latency bottleneck cleared</t>
  </si>
  <si>
    <t>0 13 Latency bottleneck cleared</t>
  </si>
  <si>
    <t>Slot (\d+), port (\d+) has ((?:Latency|Congestion) bottleneck cleared)</t>
  </si>
  <si>
    <t>Slot 0, port 43 has Congestion bottleneck cleared</t>
  </si>
  <si>
    <t>0 43 Congestion bottleneck cleared</t>
  </si>
  <si>
    <t>Port 23 has Latency bottleneck cleared</t>
  </si>
  <si>
    <t>severe latency bottleneck portType slot port</t>
  </si>
  <si>
    <t>severe_bottleneck</t>
  </si>
  <si>
    <t>(Severe latency bottleneck) detected at ([FE]-Port)?(?:slot (\d+))? (?:port )?(\d+)</t>
  </si>
  <si>
    <t>Severe latency bottleneck detected at E-Port 40</t>
  </si>
  <si>
    <t>Severe latency bottleneck E-Port nan 40</t>
  </si>
  <si>
    <t>Severe latency bottleneck detected at slot 0 port 16</t>
  </si>
  <si>
    <t>Severe latency bottleneck nan 0 16</t>
  </si>
  <si>
    <t>maps event details with value</t>
  </si>
  <si>
    <t>maps_current_value</t>
  </si>
  <si>
    <t>Condition=(.+?), +Current Value:\[(.+?)\],.+?Dashboard Category=(.+?)\.*$</t>
  </si>
  <si>
    <t>Condition=ALL_PORTS(DEV_LATENCY_IMPACT==IO_PERF_IMPACT), Current Value:[DEV_LATE`NCY_IMPACT, IO_PERF_IMPACT, (33.4% of 10 secs) ], RuleName=defALL_PORTS_IO_PERF_IMPACT, Dashboard Category=Fabric Performance Impact</t>
  </si>
  <si>
    <t>ALL_PORTS(DEV_LATENCY_IMPACT==IO_PERF_IMPACT) DEV_LATENCY_IMPACT, IO_PERF_IMPACT, (33.4% of 10 secs)  Fabric Performance Impact</t>
  </si>
  <si>
    <t>maps event details with obj</t>
  </si>
  <si>
    <t>maps_object</t>
  </si>
  <si>
    <t>Condition=(.+?), +obj:(.+)</t>
  </si>
  <si>
    <t>c2_message_1</t>
  </si>
  <si>
    <t>(S(\d+),P(\d+)\(Bp\d+\) user_idx:(\d+) \[PID 0x(\w+)\].+)</t>
  </si>
  <si>
    <t>S0,P1(Bp213) user_idx:1 [PID 0x0b6a00] faulted due to SFP validation failure. Check if the SFP is valid for the configuration</t>
  </si>
  <si>
    <t>0 1  SFP validation failure. Check if the SFP is valid for the configuration</t>
  </si>
  <si>
    <t>S(\d+),P(\d+)\(Bp\d+\) user_idx:(\d+) \[PID 0x(\w+)\] +(.+)</t>
  </si>
  <si>
    <t>S0,P18(Bp23) user_idx:18 [PID 0x021200] faulted due to invalid SFP, conflicting speed or laser fault. Check if the SFP or port speed is valid for the configuration.</t>
  </si>
  <si>
    <t>ignore_message</t>
  </si>
  <si>
    <t>LOG-1000|SS-1000|SS-1001|SS-1002|SS-1010|SS-1011|SS-1014|ZONE-1022|CONF-1000|CONF-1001|AUTH-1001|AUTH-1003|AUTH-1046|CCFG-1009|AUTH-3001|AUTH-3002|AUTH-3003|SNMP-1008|SNMP-1007|PORT-1007|IPAD-1002|IPAD-1003|IPAD-1004|SNMP-1005|SEC-1180|SEC-1181|SEC-1182|SEC-1197|SEC-3050|TS-1009|TS-1010</t>
  </si>
  <si>
    <t>LOG-1000 Previous message repeated &lt;repeat count&gt; time(s).</t>
  </si>
  <si>
    <t>SS-1014 supportSave has uploaded information to the remote host(fabos is not ready).</t>
  </si>
  <si>
    <t>SS-1011 CORE/FFDC files have been transferred to the USB storage device.</t>
  </si>
  <si>
    <t>SS-1010 CORE/FFDC files have been uploaded to the remote host.</t>
  </si>
  <si>
    <t>SS-1001 supportSave's upload operation to remote host has been aborted.</t>
  </si>
  <si>
    <t>SS-1002 supportSave has stored support information to the USB storage device.</t>
  </si>
  <si>
    <t>SS-1000 supportSave has uploaded support information to the remote host.</t>
  </si>
  <si>
    <t>ZONE-1022 The effective configuration has changed to &lt;Effective configuration name&gt;. &lt;AD Id&gt;</t>
  </si>
  <si>
    <t>CONF-1000 configDownload completed successfully &lt;Info about the parameters and AD.&gt;.</t>
  </si>
  <si>
    <t>CONF-1001 configUpload completed successfully &lt;Info about the parameters and AD&gt;.</t>
  </si>
  <si>
    <t>AUTH-3001 Event: &lt;Event Name&gt;, Status: success, Info: &lt;Data type&gt; type has been changed from [&lt;Old
value&gt;] to [&lt;New value&gt;].</t>
  </si>
  <si>
    <t>AUTH-3002 Event: &lt;Event Name&gt;, Status: success, Info: &lt;Event Related Info&gt;.</t>
  </si>
  <si>
    <t>AUTH-3003 Event: &lt;Event Name&gt;, Status: success, Info: &lt;Operation type&gt; the PKI objects.</t>
  </si>
  <si>
    <t>SNMP-1008 The last device change happened at :</t>
  </si>
  <si>
    <t>SNMP-1007 The last fabric change happened at:</t>
  </si>
  <si>
    <t>PORT-1007 Port (ID: &lt;port number&gt;) has been renamed to (&lt;port name&gt;).</t>
  </si>
  <si>
    <t>IPAD-1002 Switch name has been successfully changed to &lt;Switch name&gt;.</t>
  </si>
  <si>
    <t>IPAD-1003 DNS parameters saved successfully.</t>
  </si>
  <si>
    <t>IPAD-1004 DNS parameters removed successfully.</t>
  </si>
  <si>
    <t>SNMP-1005 SNMP configuration attribute, &lt;Changed attribute&gt;, &lt;String Value&gt;.</t>
  </si>
  <si>
    <t>SEC-1180 Added account &lt;user name&gt; with &lt;role name&gt; authorization.</t>
  </si>
  <si>
    <t>SEC-1181 Deleted account &lt;user name&gt;.</t>
  </si>
  <si>
    <t>SEC-1182 Recovered &lt;number of&gt; accounts.</t>
  </si>
  <si>
    <t>SEC-1197 Changed account &lt;user name&gt;.</t>
  </si>
  <si>
    <t>TS-1009 Date changed by user from &lt;Old system time&gt; to &lt;Updated system time by the user&gt;.</t>
  </si>
  <si>
    <t>TS-1010 Indicates that the system date has been changed by the user.</t>
  </si>
  <si>
    <t>AUTH-1001 &lt;Operation type&gt; has been successfully completed.</t>
  </si>
  <si>
    <t>AUTH-1003 &lt;data type&gt; type has been successfully set to &lt;setting value&gt;.</t>
  </si>
  <si>
    <t>AUTH-1046  &lt;Operation type&gt; has been successfully completed.</t>
  </si>
  <si>
    <t>CCFG-1009 Successfully copied to &lt;destination&gt;.</t>
  </si>
  <si>
    <t>SEC-3050 Event: &lt;Event Name&gt;, Status: success, Info: &lt;Event Specific Info&gt;</t>
  </si>
  <si>
    <t>slow drain device detected</t>
  </si>
  <si>
    <t>slow_drain_device</t>
  </si>
  <si>
    <t>^((?:Configured limit exceeded\. )?Port (?:(\d+)/)?(\d+)(?: \(Port index (\d+)\))? [A-Za-z ]+\.?) *$</t>
  </si>
  <si>
    <t>Port 11 (Port index 11) has been marked as Slow Drain Device</t>
  </si>
  <si>
    <t>11 11 Slow Drain Device</t>
  </si>
  <si>
    <t>Port (?:(\d+)/)?(\d+) \(Port index (\d+)\) has been marked as (Slow Drain Device)</t>
  </si>
  <si>
    <t>Port 2/8 (Port index 24) has been marked as Slow Drain Device</t>
  </si>
  <si>
    <t>2 8 24 Slow Drain Device</t>
  </si>
  <si>
    <t>Port 4/17 (Port index 81) removed from the Slow Drain Device Quarantine Group.</t>
  </si>
  <si>
    <t>Port 4/17 marked as Slow Drain Device is not enforced due to zoned port limit exceeded.</t>
  </si>
  <si>
    <t>Configured limit exceeded. Port 4/17 could not be marked as Slow Drain Device.</t>
  </si>
  <si>
    <t>Configured limit exceeded</t>
  </si>
  <si>
    <t>sddq_limit_reached</t>
  </si>
  <si>
    <t>(Configured limit exceeded). Port (\d+)/(\d+) could not be marked as (Slow Drain Device)</t>
  </si>
  <si>
    <t>Configured limit exceeded. Port 3/21 could not be marked as Slow Drain Device</t>
  </si>
  <si>
    <t>3 21 Configured limit exceeded. Port could not be marked as Slow Drain Device</t>
  </si>
  <si>
    <t>UNUSED. ABSORBED</t>
  </si>
  <si>
    <t>Configured limit exceeded. Port 9/6 could not be marked as Slow Drain Device</t>
  </si>
  <si>
    <t>frame_detected</t>
  </si>
  <si>
    <t>(Frame.+?detected).+?tx port (-?\d+) rx port (-?\d+), sid *([0-9a-f]{5,}), did *([0-9a-f]{5,})</t>
  </si>
  <si>
    <t>Frame timeout detected, tx port -1 rx port -1, sid 31b200, did 311803, timestamp 2020-12-14 04:30:57</t>
  </si>
  <si>
    <t>Frame timeout detected -1 -1 31b200 311803</t>
  </si>
  <si>
    <t>Frame timeout detected, tx port 17 rx port 14, sid 11230d, did 31d680, timestamp 2020-08-12 07:44:27</t>
  </si>
  <si>
    <t>Frame timeout detected 17 14 11230d 31d680</t>
  </si>
  <si>
    <t>els_unzoned_device</t>
  </si>
  <si>
    <t>(EX_Port (\d+) ELS PLOGI from did ([0-9a-z]{6}) to sid ([0-9a-z]{6}) wwn ((?:[0-9a-f]{2}:){7}[0-9a-f]{2}) NOT ZONE)</t>
  </si>
  <si>
    <t>EX_Port 124 ELS PLOGI from did 8adcc0 to sid 1227cf wwn 20:01:f4:e9:d4:ec:6e:e3 NOT ZONE</t>
  </si>
  <si>
    <t>sfp_port_slot_number</t>
  </si>
  <si>
    <t>SFP +(?:(\d+)/)?(\d+), Condition</t>
  </si>
  <si>
    <t>SFP 1/31, Condition=ALL_16GSWL_SFP(TXP&lt;=251), Current Value:[TXP, 0 uW]</t>
  </si>
  <si>
    <t>1 31</t>
  </si>
  <si>
    <t>SFP 25, Condition=ALL_16GSWL_SFP(TXP&lt;=251), Current Value:[TXP, 0 uW]</t>
  </si>
  <si>
    <t>sec_violation_login_failure</t>
  </si>
  <si>
    <t>(Security violation): (Login failure attempt via [\w/]+). +IP Addr: ([\w.]+)</t>
  </si>
  <si>
    <t>Security violation: Login failure attempt via TELNET. IP Addr: 192.168.1.1.</t>
  </si>
  <si>
    <t>Security violation: Login failure attempt via TELNET 192.168.1.1</t>
  </si>
  <si>
    <t>Security violation: Login failure attempt via TELNET. IP Addr: 0400itsmaxp02.pv.mts.ru.</t>
  </si>
  <si>
    <t>Security violation: Login failure attempt via TELNET/SSH/RSH. IP Addr: 0400itsmaxp02.pv.mts.ru</t>
  </si>
  <si>
    <t>sec_violation_unauthorized_host</t>
  </si>
  <si>
    <t>(Security Violation).+(Unauthorized host) with IP address ([\w.]+) tries to establish</t>
  </si>
  <si>
    <t>Event:Security Violation , Status: failed, Info: Unauthorized host with IP address 10.73.220.81 tries to establish connection using TELNET violation-port 23</t>
  </si>
  <si>
    <t>Security violation: Unauthorized host with IP address 10.73.220.81 tries to establish API connection.</t>
  </si>
  <si>
    <t>portcmd_params</t>
  </si>
  <si>
    <t>portcmd_params_add</t>
  </si>
  <si>
    <t>portcmd_columns</t>
  </si>
  <si>
    <t>section_sshow_port</t>
  </si>
  <si>
    <t>^\| Section: SSHOW_PORT \|$</t>
  </si>
  <si>
    <t>Section: SSHOW_PORT</t>
  </si>
  <si>
    <t>port_index</t>
  </si>
  <si>
    <t>slot_port_number</t>
  </si>
  <si>
    <t>portFcPortCmdShow --slot 10 37 3</t>
  </si>
  <si>
    <t>^portFcPortCmdShow --slot (\d{1,2}) (\d{1,3}) \d+ *:?$</t>
  </si>
  <si>
    <t>portshow_port_index</t>
  </si>
  <si>
    <t>portshow 2</t>
  </si>
  <si>
    <t>^portshow +(\d{1,4})$</t>
  </si>
  <si>
    <t>portshow 20</t>
  </si>
  <si>
    <t>port_ids</t>
  </si>
  <si>
    <t>port_id_attached_device</t>
  </si>
  <si>
    <t>Connected_portId</t>
  </si>
  <si>
    <t>connected_wwns</t>
  </si>
  <si>
    <t>single_param_complete_line</t>
  </si>
  <si>
    <t>^(portDisableReason|POD Port|Distance|portFlags|16b Area list): +(.+)</t>
  </si>
  <si>
    <t>POD Port: Need license to enable the port</t>
  </si>
  <si>
    <t>wwn_attached_device</t>
  </si>
  <si>
    <t>Connected_portWwn</t>
  </si>
  <si>
    <t>portDisableReason: Persistently disabled port</t>
  </si>
  <si>
    <t>portPhys_details</t>
  </si>
  <si>
    <t>portFlags: 0x21  PRESENT U_PORT DISABLED</t>
  </si>
  <si>
    <t>portScn_details</t>
  </si>
  <si>
    <t>portState</t>
  </si>
  <si>
    <t>Distance:  static (desired distance = 50 Km)</t>
  </si>
  <si>
    <t>portPhys</t>
  </si>
  <si>
    <t>Distance:  normal</t>
  </si>
  <si>
    <t>Distance:  auto (desired distance = 16 Km, actual distance = 15 Km)</t>
  </si>
  <si>
    <t>portScn</t>
  </si>
  <si>
    <t>single_param_single_value</t>
  </si>
  <si>
    <t>^([\w ]+): +([A-Za-z\d.]+) *$</t>
  </si>
  <si>
    <t>FEC: Active</t>
  </si>
  <si>
    <t>POD Port</t>
  </si>
  <si>
    <t>portSpeed: N16Gbps</t>
  </si>
  <si>
    <t>POD_Port</t>
  </si>
  <si>
    <t>portDisableReason</t>
  </si>
  <si>
    <t>portFlags</t>
  </si>
  <si>
    <t>portstate</t>
  </si>
  <si>
    <t>^(portState): +(?:[\d ]+)?([A-Za-z ]+)</t>
  </si>
  <si>
    <t>portState: 1 Online</t>
  </si>
  <si>
    <t>portState: Persistently Disabled</t>
  </si>
  <si>
    <t>portType_id</t>
  </si>
  <si>
    <t>state transition count</t>
  </si>
  <si>
    <t>state_transition_count</t>
  </si>
  <si>
    <t>port generation number</t>
  </si>
  <si>
    <t>portwwn</t>
  </si>
  <si>
    <t>(portWwn): +(([0-9a-f]{2}:){7}[0-9a-f]{2})</t>
  </si>
  <si>
    <t>portWwn:   20:0b:88:94:71:7c:07:00</t>
  </si>
  <si>
    <t>port_generation_number</t>
  </si>
  <si>
    <t>portId</t>
  </si>
  <si>
    <t>portIfId</t>
  </si>
  <si>
    <t>portWwn</t>
  </si>
  <si>
    <t>portphys_and_portscn</t>
  </si>
  <si>
    <t>(portPhys): +\d+ ([A-Za-z_]+)(?: +([\w" /]+))? +(portScn): +\d+(?: ([A-Za-z_]+))?(?: +(.+))?</t>
  </si>
  <si>
    <t>portPhys:  6 In_Sync   portScn:   0           Trunk master port</t>
  </si>
  <si>
    <t>Logical portWwn</t>
  </si>
  <si>
    <t>portPhys:  6 In_Sync   portScn:   1 Online</t>
  </si>
  <si>
    <t>Logical_portWwn</t>
  </si>
  <si>
    <t>Distance</t>
  </si>
  <si>
    <t>portPhys:  6 In_Sync   portScn:   16 E_Port</t>
  </si>
  <si>
    <t>^ +[fed]{2} +([\da-f]{6}) +([a-f\d:]+) +[\w= ]+$</t>
  </si>
  <si>
    <t>portSpeed</t>
  </si>
  <si>
    <t>portPhys:  6 In_Sync   portScn:   16 E_Port    Trunk port Flow control mode 4</t>
  </si>
  <si>
    <t>FEC</t>
  </si>
  <si>
    <t>portPhys:  4 No_Light  portScn:   0</t>
  </si>
  <si>
    <t>^(portPhys) *: *\d+ *([\w]+) *(portScn) *: *\d+ *([\w]_Port)? *(Offline|Online)? *([\w ]+)$</t>
  </si>
  <si>
    <t>Credit Recovery</t>
  </si>
  <si>
    <t>Credit_Recovery</t>
  </si>
  <si>
    <t>LE domain</t>
  </si>
  <si>
    <t>portphys_or_portscn</t>
  </si>
  <si>
    <t>^(portPhys|portScn): +\d+ ([A-Za-z_]+)(?: +([\w" /]+))?</t>
  </si>
  <si>
    <t>portPhys:  11 Mod_Inv   "Speed Mismatch / Incompatible SFP"</t>
  </si>
  <si>
    <t>LE_domain_ID</t>
  </si>
  <si>
    <t>Aoq</t>
  </si>
  <si>
    <t>portScn:   2 Offline</t>
  </si>
  <si>
    <t>F_Trunk</t>
  </si>
  <si>
    <t>FC Fastwrite</t>
  </si>
  <si>
    <t>FC_Fastwrite</t>
  </si>
  <si>
    <t>Interrupts</t>
  </si>
  <si>
    <t>portshow_err_stats</t>
  </si>
  <si>
    <t>^([\dA-Za-z_ ]+): +(\d+) +([\dA-Za-z_ ]+): +(\d+)(?: +([\dA-Za-z_ ]+): +(\d+))? *$</t>
  </si>
  <si>
    <t>Interrupts:        0          Link_failure: 0          Frjt:         0</t>
  </si>
  <si>
    <t>^([A-Za-z_]+): +(\d+) +([A-Za-z_]+): +(\d+)(?: +([A-Za-z_]+): +(\d+))?$</t>
  </si>
  <si>
    <t>Unknown</t>
  </si>
  <si>
    <t>Lli:               0          Loss_of_sig:  0</t>
  </si>
  <si>
    <t>^([\dA-Za-z_]+): +(\d+) +([\dA-Za-z_]+): +(\d+)(?: +([\dA-Za-z_]+): +(\d+))? *$</t>
  </si>
  <si>
    <t>Lli</t>
  </si>
  <si>
    <t>Proc_rqrd</t>
  </si>
  <si>
    <t>Timed_out</t>
  </si>
  <si>
    <t>Rx_flushed</t>
  </si>
  <si>
    <t>Tx_unavail</t>
  </si>
  <si>
    <t>Free_buffer</t>
  </si>
  <si>
    <t>Overrun</t>
  </si>
  <si>
    <t>Suspended</t>
  </si>
  <si>
    <t>Parity_err</t>
  </si>
  <si>
    <t>2_parity_err</t>
  </si>
  <si>
    <t>CMI_bus_err</t>
  </si>
  <si>
    <t>Link_failure</t>
  </si>
  <si>
    <t>Loss_of_sync</t>
  </si>
  <si>
    <t>Loss_of_sig</t>
  </si>
  <si>
    <t>Protocol_err</t>
  </si>
  <si>
    <t>Invalid_word</t>
  </si>
  <si>
    <t>Invalid_crc</t>
  </si>
  <si>
    <t>Delim_err</t>
  </si>
  <si>
    <t>Address_err</t>
  </si>
  <si>
    <t>Lr_in</t>
  </si>
  <si>
    <t>Lr_out</t>
  </si>
  <si>
    <t>Ols_in</t>
  </si>
  <si>
    <t>Ols_out</t>
  </si>
  <si>
    <t>Frjt</t>
  </si>
  <si>
    <t>Fbsy</t>
  </si>
  <si>
    <t>FEC Corrected Blocks</t>
  </si>
  <si>
    <t>FEC_Corrected_Blocks</t>
  </si>
  <si>
    <t>FEC Uncorrected Blocks</t>
  </si>
  <si>
    <t>FEC_Uncorrected Blocks</t>
  </si>
  <si>
    <t>Cong_Prim_in</t>
  </si>
  <si>
    <t>device_connected_wwn</t>
  </si>
  <si>
    <t>portWwn of device(s) connected:</t>
  </si>
  <si>
    <t>^ *([0-9a-f]{2}:[0-9a-f]{2}:[0-9a-f]{2}:[0-9a-f]{2}:[0-9a-f]{2}:[0-9a-f]{2}:[0-9a-f]{2}:[0-9a-f]{2}) *$</t>
  </si>
  <si>
    <t xml:space="preserve"> 50:01:43:80:16:78:bd:a2</t>
  </si>
  <si>
    <t>login_connected_wwn</t>
  </si>
  <si>
    <t>portloginshow 21</t>
  </si>
  <si>
    <t>^ +(fe|fd) +([\da-f]{6}) +([a-f\d:]+) +[\w= ]+$</t>
  </si>
  <si>
    <t>fe  790300 25:00:00:05:1e:73:3e:34     8  2112   8  scr=0x2000000</t>
  </si>
  <si>
    <t>portregshow 21</t>
  </si>
  <si>
    <t>portstats_vc</t>
  </si>
  <si>
    <t>portstatsshow 21</t>
  </si>
  <si>
    <t>^(\w+)\s{1,2}(\d{1,2})-\s?(\d{1,2}):\s+(\d+)\s+(\d+)\s+(\d+)\s+(\d+)</t>
  </si>
  <si>
    <t>tim_txcrd_z_vc  0- 3:  0 0  0 0</t>
  </si>
  <si>
    <t>stat_wtx</t>
  </si>
  <si>
    <t>portstats</t>
  </si>
  <si>
    <t>^\b(\w+(?&lt;!vc)\b) +([\d-]+)</t>
  </si>
  <si>
    <t>stat_wtx 14375003157</t>
  </si>
  <si>
    <t>stat_wrx</t>
  </si>
  <si>
    <t>stat_ftx</t>
  </si>
  <si>
    <t>stat_frx</t>
  </si>
  <si>
    <t>stat_c2_frx</t>
  </si>
  <si>
    <t>stat_c3_frx</t>
  </si>
  <si>
    <t>stat_lc_rx</t>
  </si>
  <si>
    <t>stat_mc_rx</t>
  </si>
  <si>
    <t>stat_mc_to</t>
  </si>
  <si>
    <t>stat_mc_tx</t>
  </si>
  <si>
    <t>fec_cor_detected</t>
  </si>
  <si>
    <t>fec_uncor_detected</t>
  </si>
  <si>
    <t>er_enc_in</t>
  </si>
  <si>
    <t>er_crc</t>
  </si>
  <si>
    <t>er_trunc</t>
  </si>
  <si>
    <t>er_toolong</t>
  </si>
  <si>
    <t>er_bad_eof</t>
  </si>
  <si>
    <t>er_enc_out</t>
  </si>
  <si>
    <t>er_bad_os</t>
  </si>
  <si>
    <t>er_pcs_blk</t>
  </si>
  <si>
    <t>er_rx_c3_timeout</t>
  </si>
  <si>
    <t>er_tx_c3_timeout</t>
  </si>
  <si>
    <t>er_unroutable</t>
  </si>
  <si>
    <t>er_unreachable</t>
  </si>
  <si>
    <t>er_other_discard</t>
  </si>
  <si>
    <t>er_type1_miss</t>
  </si>
  <si>
    <t>er_type2_miss</t>
  </si>
  <si>
    <t>er_type6_miss</t>
  </si>
  <si>
    <t>er_zone_miss</t>
  </si>
  <si>
    <t>er_lun_zone_miss</t>
  </si>
  <si>
    <t>er_crc_good_eof</t>
  </si>
  <si>
    <t>er_inv_arb</t>
  </si>
  <si>
    <t>er_single_credit_loss</t>
  </si>
  <si>
    <t>er_multi_credit_loss</t>
  </si>
  <si>
    <t>disc_inv_dom_egid_txpt</t>
  </si>
  <si>
    <t>disc_hard_zone_miss</t>
  </si>
  <si>
    <t xml:space="preserve">disc_hard_zone_miss </t>
  </si>
  <si>
    <t>other_credit_loss</t>
  </si>
  <si>
    <t>phy_stats_clear_ts</t>
  </si>
  <si>
    <t>tim_rdy_pri</t>
  </si>
  <si>
    <t>tim_txcrd_z</t>
  </si>
  <si>
    <t>tim_txcrd_z_vc_0</t>
  </si>
  <si>
    <t>tim_txcrd_z_vc_1</t>
  </si>
  <si>
    <t>tim_txcrd_z_vc_2</t>
  </si>
  <si>
    <t>tim_txcrd_z_vc_3</t>
  </si>
  <si>
    <t>tim_txcrd_z_vc_4</t>
  </si>
  <si>
    <t>tim_txcrd_z_vc_5</t>
  </si>
  <si>
    <t>tim_txcrd_z_vc_6</t>
  </si>
  <si>
    <t>tim_txcrd_z_vc_7</t>
  </si>
  <si>
    <t>tim_txcrd_z_vc_8</t>
  </si>
  <si>
    <t>tim_txcrd_z_vc_9</t>
  </si>
  <si>
    <t>tim_txcrd_z_vc_10</t>
  </si>
  <si>
    <t>tim_txcrd_z_vc_11</t>
  </si>
  <si>
    <t>tim_txcrd_z_vc_12</t>
  </si>
  <si>
    <t>tim_txcrd_z_vc_13</t>
  </si>
  <si>
    <t>tim_txcrd_z_vc_14</t>
  </si>
  <si>
    <t>tim_txcrd_z_vc_15</t>
  </si>
  <si>
    <t>tim_latency_vc_0</t>
  </si>
  <si>
    <t>tim_latency_vc_1</t>
  </si>
  <si>
    <t>tim_latency_vc_2</t>
  </si>
  <si>
    <t>tim_latency_vc_3</t>
  </si>
  <si>
    <t>tim_latency_vc_4</t>
  </si>
  <si>
    <t>tim_latency_vc_5</t>
  </si>
  <si>
    <t>tim_latency_vc_6</t>
  </si>
  <si>
    <t>tim_latency_vc_7</t>
  </si>
  <si>
    <t>tim_latency_vc_8</t>
  </si>
  <si>
    <t>tim_latency_vc_9</t>
  </si>
  <si>
    <t>tim_latency_vc_10</t>
  </si>
  <si>
    <t>tim_latency_vc_11</t>
  </si>
  <si>
    <t>tim_latency_vc_12</t>
  </si>
  <si>
    <t>tim_latency_vc_13</t>
  </si>
  <si>
    <t>tim_latency_vc_14</t>
  </si>
  <si>
    <t>tim_latency_vc_15</t>
  </si>
  <si>
    <t>lat_tot_pkt_vc_0</t>
  </si>
  <si>
    <t>lat_tot_pkt_vc_1</t>
  </si>
  <si>
    <t>lat_tot_pkt_vc_2</t>
  </si>
  <si>
    <t>lat_tot_pkt_vc_3</t>
  </si>
  <si>
    <t>lat_tot_pkt_vc_4</t>
  </si>
  <si>
    <t>lat_tot_pkt_vc_5</t>
  </si>
  <si>
    <t>lat_tot_pkt_vc_6</t>
  </si>
  <si>
    <t>lat_tot_pkt_vc_7</t>
  </si>
  <si>
    <t>lat_tot_pkt_vc_8</t>
  </si>
  <si>
    <t>lat_tot_pkt_vc_9</t>
  </si>
  <si>
    <t>lat_tot_pkt_vc_10</t>
  </si>
  <si>
    <t>lat_tot_pkt_vc_11</t>
  </si>
  <si>
    <t>lat_tot_pkt_vc_12</t>
  </si>
  <si>
    <t>lat_tot_pkt_vc_13</t>
  </si>
  <si>
    <t>lat_tot_pkt_vc_14</t>
  </si>
  <si>
    <t>lat_tot_pkt_vc_15</t>
  </si>
  <si>
    <t>lat_hi_time_vc_0</t>
  </si>
  <si>
    <t>lat_hi_time_vc_1</t>
  </si>
  <si>
    <t>lat_hi_time_vc_2</t>
  </si>
  <si>
    <t>lat_hi_time_vc_3</t>
  </si>
  <si>
    <t>lat_hi_time_vc_4</t>
  </si>
  <si>
    <t>lat_hi_time_vc_5</t>
  </si>
  <si>
    <t>lat_hi_time_vc_6</t>
  </si>
  <si>
    <t>lat_hi_time_vc_7</t>
  </si>
  <si>
    <t>lat_hi_time_vc_8</t>
  </si>
  <si>
    <t>lat_hi_time_vc_9</t>
  </si>
  <si>
    <t>lat_hi_time_vc_10</t>
  </si>
  <si>
    <t>lat_hi_time_vc_11</t>
  </si>
  <si>
    <t>lat_hi_time_vc_12</t>
  </si>
  <si>
    <t>lat_hi_time_vc_13</t>
  </si>
  <si>
    <t>lat_hi_time_vc_14</t>
  </si>
  <si>
    <t>lat_hi_time_vc_15</t>
  </si>
  <si>
    <t>lat_lo_time_vc_0</t>
  </si>
  <si>
    <t>lat_lo_time_vc_1</t>
  </si>
  <si>
    <t>lat_lo_time_vc_2</t>
  </si>
  <si>
    <t>lat_lo_time_vc_3</t>
  </si>
  <si>
    <t>lat_lo_time_vc_4</t>
  </si>
  <si>
    <t>lat_lo_time_vc_5</t>
  </si>
  <si>
    <t>lat_lo_time_vc_6</t>
  </si>
  <si>
    <t>lat_lo_time_vc_7</t>
  </si>
  <si>
    <t>lat_lo_time_vc_8</t>
  </si>
  <si>
    <t>lat_lo_time_vc_9</t>
  </si>
  <si>
    <t>lat_lo_time_vc_10</t>
  </si>
  <si>
    <t>lat_lo_time_vc_11</t>
  </si>
  <si>
    <t>lat_lo_time_vc_12</t>
  </si>
  <si>
    <t>lat_lo_time_vc_13</t>
  </si>
  <si>
    <t>lat_lo_time_vc_14</t>
  </si>
  <si>
    <t>lat_lo_time_vc_15</t>
  </si>
  <si>
    <t>max_latency_vc_0</t>
  </si>
  <si>
    <t>max_latency_vc_1</t>
  </si>
  <si>
    <t>max_latency_vc_2</t>
  </si>
  <si>
    <t>max_latency_vc_3</t>
  </si>
  <si>
    <t>max_latency_vc_4</t>
  </si>
  <si>
    <t>max_latency_vc_5</t>
  </si>
  <si>
    <t>max_latency_vc_6</t>
  </si>
  <si>
    <t>max_latency_vc_7</t>
  </si>
  <si>
    <t>max_latency_vc_8</t>
  </si>
  <si>
    <t>max_latency_vc_9</t>
  </si>
  <si>
    <t>max_latency_vc_10</t>
  </si>
  <si>
    <t>max_latency_vc_11</t>
  </si>
  <si>
    <t>max_latency_vc_12</t>
  </si>
  <si>
    <t>max_latency_vc_13</t>
  </si>
  <si>
    <t>max_latency_vc_14</t>
  </si>
  <si>
    <t>max_latency_vc_15</t>
  </si>
  <si>
    <t>rebuilt finished</t>
  </si>
  <si>
    <t>^\| ... rebuilt finished *\|$</t>
  </si>
  <si>
    <t xml:space="preserve"> ... rebuilt finished </t>
  </si>
  <si>
    <t>sfp_params</t>
  </si>
  <si>
    <t>sfp_params_add</t>
  </si>
  <si>
    <t>sfp_columns</t>
  </si>
  <si>
    <t>portcfg_params</t>
  </si>
  <si>
    <t>portcfg_columns</t>
  </si>
  <si>
    <t>analysis_isl</t>
  </si>
  <si>
    <t>switchcmd_sfpshow</t>
  </si>
  <si>
    <t>SWITCHCMD /fabos/cliexec/sfpshow -all</t>
  </si>
  <si>
    <t>^(SWITCHCMD )?(/fabos/cliexec/)?sfpshow +-all *(?:-verbose)?: *$</t>
  </si>
  <si>
    <t>SWITCHCMD /fabos/cliexec/sfpshow -all:</t>
  </si>
  <si>
    <t>SWITCHCMD /fabos/cliexec/sfpshow -all -verbose:</t>
  </si>
  <si>
    <t>Slot num, port num</t>
  </si>
  <si>
    <t>slot_port</t>
  </si>
  <si>
    <t>^(Slot *(\d+)/)?Port *(\d+):$</t>
  </si>
  <si>
    <t>Slot  9/Port  9:</t>
  </si>
  <si>
    <t>Vendor Name</t>
  </si>
  <si>
    <t>Vendor PN</t>
  </si>
  <si>
    <t>Transceiver_Name</t>
  </si>
  <si>
    <t>Vendor_Name</t>
  </si>
  <si>
    <t>Serial No</t>
  </si>
  <si>
    <t>Vendor_PN</t>
  </si>
  <si>
    <t>Wavelength, nm</t>
  </si>
  <si>
    <t>Transceiver_SN</t>
  </si>
  <si>
    <t>Serial_No</t>
  </si>
  <si>
    <t>Transceiver</t>
  </si>
  <si>
    <t>Wavelength</t>
  </si>
  <si>
    <t>Wavelength_nm</t>
  </si>
  <si>
    <t>RX Power, dBm</t>
  </si>
  <si>
    <t>power</t>
  </si>
  <si>
    <t>^(\w+ \w+ ?\w*):\s+([\w.-]+)\s+(\w+)\s+\(([\d.]+)\s*(\w+)\)</t>
  </si>
  <si>
    <t>RX Power:    -2.7    dBm (542.3uW)</t>
  </si>
  <si>
    <t>Transceiver_mode</t>
  </si>
  <si>
    <t>TX Power, dBm</t>
  </si>
  <si>
    <t>RX Power_dBm</t>
  </si>
  <si>
    <t>RX_Power_dBm</t>
  </si>
  <si>
    <t>RX Power, uW</t>
  </si>
  <si>
    <t>transceiver</t>
  </si>
  <si>
    <t>^(Transceiver):\s+\w+\s+([\w, ]+)</t>
  </si>
  <si>
    <t>Transceiver: 700c406000000000 4,8,16_Gbps M5,M6 sw Inter,Short_dist</t>
  </si>
  <si>
    <t>TX Power_dBm</t>
  </si>
  <si>
    <t>TX_Power_dBm</t>
  </si>
  <si>
    <t>TX Power, uW</t>
  </si>
  <si>
    <t>RX Power_uW</t>
  </si>
  <si>
    <t>RX_Power_uW</t>
  </si>
  <si>
    <t>Current, mAmps</t>
  </si>
  <si>
    <t>no_sfp</t>
  </si>
  <si>
    <t>No SFP installed in port 1169</t>
  </si>
  <si>
    <t>TX Power_uW</t>
  </si>
  <si>
    <t>TX_Power_uW</t>
  </si>
  <si>
    <t>Voltage, mVolts</t>
  </si>
  <si>
    <t>Current</t>
  </si>
  <si>
    <t>Current_mAmps</t>
  </si>
  <si>
    <t>Temperature, Centigrade</t>
  </si>
  <si>
    <t>info_na</t>
  </si>
  <si>
    <t>^([\w ]+): +(Not Available)$</t>
  </si>
  <si>
    <t>Temperature :   Not Available</t>
  </si>
  <si>
    <t>Voltage</t>
  </si>
  <si>
    <t>Voltage_mVolts</t>
  </si>
  <si>
    <t>Baud Rate, 100 megabaud</t>
  </si>
  <si>
    <t>Temperature</t>
  </si>
  <si>
    <t>Temperature_Centigrade</t>
  </si>
  <si>
    <t>Length 9u, km</t>
  </si>
  <si>
    <t>sfp_info</t>
  </si>
  <si>
    <t>^([\w .()-]+): *([\w:.-]+)</t>
  </si>
  <si>
    <t>Vendor PN:   QK724A</t>
  </si>
  <si>
    <t>Baud Rate</t>
  </si>
  <si>
    <t>Baud_Rate_100_megabaud</t>
  </si>
  <si>
    <t>Length 9u, 100 meters</t>
  </si>
  <si>
    <t>Length 9u</t>
  </si>
  <si>
    <t>Length_9u_km</t>
  </si>
  <si>
    <t>Length 50u (OM2), 10 meters</t>
  </si>
  <si>
    <t>Length 9</t>
  </si>
  <si>
    <t>Length_9u_100_meters</t>
  </si>
  <si>
    <t>Length 50u (OM3), 10 meters</t>
  </si>
  <si>
    <t>Length 50u (OM2)</t>
  </si>
  <si>
    <t>Length_50u_(OM2)_10_meters</t>
  </si>
  <si>
    <t>Length 50u, 10 meters</t>
  </si>
  <si>
    <t>Length 50u (OM3)</t>
  </si>
  <si>
    <t>Length_50u_(OM3)_10_meters</t>
  </si>
  <si>
    <t>Length 62.5u, 10 meters</t>
  </si>
  <si>
    <t>Length 50u</t>
  </si>
  <si>
    <t>Length_50u_10_meters</t>
  </si>
  <si>
    <t>Pwr On Time, years</t>
  </si>
  <si>
    <t>Length 62.5u</t>
  </si>
  <si>
    <t>Length_62.5u_10_meters</t>
  </si>
  <si>
    <t>Pwr On Time, hours</t>
  </si>
  <si>
    <t>Pwr On Time_years</t>
  </si>
  <si>
    <t>Pwr_On_Time_years</t>
  </si>
  <si>
    <t>Pwr On Time_hours</t>
  </si>
  <si>
    <t>Pwr_On_Time_hours</t>
  </si>
  <si>
    <t>switchcmd_portcfgshow</t>
  </si>
  <si>
    <t>^(SWITCHCMD )?(/fabos/cliexec/)?portcfgshow *: *$</t>
  </si>
  <si>
    <t>SWITCHCMD /fabos/cliexec/portcfgshow :</t>
  </si>
  <si>
    <t>slot_port_line</t>
  </si>
  <si>
    <t>^Ports of Slot ?(\d+)\s+([\w ]+)</t>
  </si>
  <si>
    <t>Ports of Slot 2          18  19    30  31</t>
  </si>
  <si>
    <t>Octet Speed Combo</t>
  </si>
  <si>
    <t>portcfg</t>
  </si>
  <si>
    <t>^([D-]*\w+/? ?\w*[- (]?\w* ?\w*\)?)\s{4,}([\w .-]+)</t>
  </si>
  <si>
    <t>Speed                    AN  AN    AN  AN</t>
  </si>
  <si>
    <t>Octet_Speed_Combo</t>
  </si>
  <si>
    <t>Speed</t>
  </si>
  <si>
    <t>Speed_Cfg</t>
  </si>
  <si>
    <t>AL_PA Offset 13</t>
  </si>
  <si>
    <t>AL_PA_Offset_13</t>
  </si>
  <si>
    <t>Trunk Port</t>
  </si>
  <si>
    <t>Trunk_Port</t>
  </si>
  <si>
    <t>Long Distance</t>
  </si>
  <si>
    <t>Long_Distance</t>
  </si>
  <si>
    <t>VC Link Init</t>
  </si>
  <si>
    <t>VC_Link_Init</t>
  </si>
  <si>
    <t>Locked L_Port</t>
  </si>
  <si>
    <t>Locked_L_Port</t>
  </si>
  <si>
    <t>Locked G_Port</t>
  </si>
  <si>
    <t>Locked_G_Port</t>
  </si>
  <si>
    <t>Disabled E_Port</t>
  </si>
  <si>
    <t>Disabled_E_Port</t>
  </si>
  <si>
    <t>Locked E_Port</t>
  </si>
  <si>
    <t>Locked_E_Port</t>
  </si>
  <si>
    <t>ISL R_RDY Mode</t>
  </si>
  <si>
    <t>ISL_R_RDY_Mode</t>
  </si>
  <si>
    <t>RSCN Suppressed</t>
  </si>
  <si>
    <t>RSCN_Suppressed</t>
  </si>
  <si>
    <t>Persistent Disable</t>
  </si>
  <si>
    <t>Persistent_Disable</t>
  </si>
  <si>
    <t>LOS TOV mode</t>
  </si>
  <si>
    <t>LOS_TOV_mode</t>
  </si>
  <si>
    <t>NPIV capability</t>
  </si>
  <si>
    <t>NPIV_capability</t>
  </si>
  <si>
    <t>NPIV PP Limit</t>
  </si>
  <si>
    <t>NPIV_PP_Limit</t>
  </si>
  <si>
    <t>NPIV FLOGI Logout</t>
  </si>
  <si>
    <t>NPIV_FLOGI_Logout</t>
  </si>
  <si>
    <t>QOS Port</t>
  </si>
  <si>
    <t>QOS_Port</t>
  </si>
  <si>
    <t>QOS E_Port</t>
  </si>
  <si>
    <t>QOS_E_Port</t>
  </si>
  <si>
    <t>EX Port</t>
  </si>
  <si>
    <t>EX_Port</t>
  </si>
  <si>
    <t>Mirror Port</t>
  </si>
  <si>
    <t>Mirror_Port</t>
  </si>
  <si>
    <t>Rate Limit</t>
  </si>
  <si>
    <t>Rate_Limit</t>
  </si>
  <si>
    <t>Fport Buffers</t>
  </si>
  <si>
    <t>Fport_Buffers</t>
  </si>
  <si>
    <t>Eport Credits</t>
  </si>
  <si>
    <t>Eport_Credits</t>
  </si>
  <si>
    <t>Port Auto Disable</t>
  </si>
  <si>
    <t>Port_Auto_Disable</t>
  </si>
  <si>
    <t>CSCTL mode</t>
  </si>
  <si>
    <t>CSCTL_mode</t>
  </si>
  <si>
    <t>D-Port mode</t>
  </si>
  <si>
    <t>D-Port_mode</t>
  </si>
  <si>
    <t>D-Port over DWDM</t>
  </si>
  <si>
    <t>D-Port_over_DWDM</t>
  </si>
  <si>
    <t>Compression</t>
  </si>
  <si>
    <t>Encryption</t>
  </si>
  <si>
    <t>10G/16G FEC</t>
  </si>
  <si>
    <t>10G/16G_FEC</t>
  </si>
  <si>
    <t>16G FEC via TTS</t>
  </si>
  <si>
    <t>16G_FEC_via_TTS</t>
  </si>
  <si>
    <t>Fault Delay</t>
  </si>
  <si>
    <t>Fault_Delay</t>
  </si>
  <si>
    <t>SIM Port</t>
  </si>
  <si>
    <t>SIM_Port</t>
  </si>
  <si>
    <t>8G Non-DFE</t>
  </si>
  <si>
    <t>8G_Non-DFE</t>
  </si>
  <si>
    <t>TDZ mode</t>
  </si>
  <si>
    <t>TDZ_mode</t>
  </si>
  <si>
    <t>Fill Word(On Active)</t>
  </si>
  <si>
    <t>Fill Word</t>
  </si>
  <si>
    <t>Fill Word(Current)</t>
  </si>
  <si>
    <t>Fill_Word(On_Active)</t>
  </si>
  <si>
    <t>Locked N_Port</t>
  </si>
  <si>
    <t>Fill_Word(Current)</t>
  </si>
  <si>
    <t>LOS TOV enable</t>
  </si>
  <si>
    <t>Locked_N_Port</t>
  </si>
  <si>
    <t>LOS_TOV_enable</t>
  </si>
  <si>
    <t>FEC via TTS</t>
  </si>
  <si>
    <t>FEC_via_TTS</t>
  </si>
  <si>
    <t>switchcmd_portcfgshow_end</t>
  </si>
  <si>
    <t>^(real [\w.]+)|(\*\* SS CMD END \*\*)$|No ports found in switch</t>
  </si>
  <si>
    <t>fdmi_params</t>
  </si>
  <si>
    <t>fdmi_params_add</t>
  </si>
  <si>
    <t>fdmi_columns</t>
  </si>
  <si>
    <t>nsshow_params</t>
  </si>
  <si>
    <t>nsshow_params_add</t>
  </si>
  <si>
    <t>nsshow_columns</t>
  </si>
  <si>
    <t>nsportshow_columns</t>
  </si>
  <si>
    <t>switchcmd_fdmishow</t>
  </si>
  <si>
    <t>SWITCHCMD /fabos/cliexec/fdmishow :</t>
  </si>
  <si>
    <t>^(SWITCHCMD /fabos/cliexec/)?fdmishow *:$</t>
  </si>
  <si>
    <t>switch_name</t>
  </si>
  <si>
    <t>wwpn</t>
  </si>
  <si>
    <t>^ {2}([\w]{2}:[\w]{2}:[\w]{2}:[\w]{2}:[\w]{2}:[\w]{2}:[\w]{2}:[\w]{2})$</t>
  </si>
  <si>
    <t xml:space="preserve">  25:00:50:eb:1a:bc:59:36</t>
  </si>
  <si>
    <t>WWNp</t>
  </si>
  <si>
    <t>FC4 Types</t>
  </si>
  <si>
    <t>fdmi_port</t>
  </si>
  <si>
    <t>^ *([\w ]+): +(.+) *$</t>
  </si>
  <si>
    <t>Serial Number: MY58340DPC</t>
  </si>
  <si>
    <t>FC4_Types</t>
  </si>
  <si>
    <t>Supported Speed</t>
  </si>
  <si>
    <t>Supported_Speed</t>
  </si>
  <si>
    <t>Port Speed</t>
  </si>
  <si>
    <t>Port_Speed</t>
  </si>
  <si>
    <t>Max Frame Size</t>
  </si>
  <si>
    <t>Max_Frame_Size</t>
  </si>
  <si>
    <t>Device Name</t>
  </si>
  <si>
    <t>Device_Name</t>
  </si>
  <si>
    <t>Host Name</t>
  </si>
  <si>
    <t>Host_Name</t>
  </si>
  <si>
    <t>Node Name</t>
  </si>
  <si>
    <t>NodeName</t>
  </si>
  <si>
    <t>Port Name</t>
  </si>
  <si>
    <t>PortName</t>
  </si>
  <si>
    <t>Port Type</t>
  </si>
  <si>
    <t>Port_Type</t>
  </si>
  <si>
    <t>Port Symb Name</t>
  </si>
  <si>
    <t>Port_Symb_Name</t>
  </si>
  <si>
    <t>Class of Service</t>
  </si>
  <si>
    <t>Class_of_Service</t>
  </si>
  <si>
    <t>FC4 Active Type</t>
  </si>
  <si>
    <t>FC4_Active_Type</t>
  </si>
  <si>
    <t>Port Identifier</t>
  </si>
  <si>
    <t>Port_Identifier</t>
  </si>
  <si>
    <t>Manufacturer</t>
  </si>
  <si>
    <t>HBA_Manufacturer</t>
  </si>
  <si>
    <t>Vendor Identifier</t>
  </si>
  <si>
    <t>Vendor_Identifier</t>
  </si>
  <si>
    <t>Serial Number</t>
  </si>
  <si>
    <t>HBA_SerialNumber</t>
  </si>
  <si>
    <t>Model</t>
  </si>
  <si>
    <t>HBA_Model</t>
  </si>
  <si>
    <t>Model Description</t>
  </si>
  <si>
    <t>HBA_Description</t>
  </si>
  <si>
    <t>Hardware Version</t>
  </si>
  <si>
    <t>Hardware_Version</t>
  </si>
  <si>
    <t>Driver Version</t>
  </si>
  <si>
    <t>HBA_Driver</t>
  </si>
  <si>
    <t>Option ROM Version</t>
  </si>
  <si>
    <t>HBA_ROM</t>
  </si>
  <si>
    <t>Bios Version</t>
  </si>
  <si>
    <t>Bios_Version</t>
  </si>
  <si>
    <t>Firmware Version</t>
  </si>
  <si>
    <t>HBA_Firmware</t>
  </si>
  <si>
    <t>OS Name and Version</t>
  </si>
  <si>
    <t>Host_OS</t>
  </si>
  <si>
    <t>Symbolic Name</t>
  </si>
  <si>
    <t>Symbolic_Name</t>
  </si>
  <si>
    <t>Max CT Payload Length</t>
  </si>
  <si>
    <t>Max_CT_Payload_Length</t>
  </si>
  <si>
    <t>Number of Ports</t>
  </si>
  <si>
    <t>Port State</t>
  </si>
  <si>
    <t>Port_State</t>
  </si>
  <si>
    <t>Discovered Ports</t>
  </si>
  <si>
    <t>Discovered_Ports</t>
  </si>
  <si>
    <t>wwpn_local</t>
  </si>
  <si>
    <t>^ {2}([0-9a-f]{2}:){7}[0-9a-f]{2}$|Local Port database contains( no entry.)?:?$</t>
  </si>
  <si>
    <t>Local Port database contains:</t>
  </si>
  <si>
    <t>local_database</t>
  </si>
  <si>
    <t>^Local Port database contains( no entry.)?:?$</t>
  </si>
  <si>
    <t>Local Port database contains no entry.</t>
  </si>
  <si>
    <t>switchcmd_nsshow</t>
  </si>
  <si>
    <t>SWITCHCMD /fabos/cliexec/nsshow -r :</t>
  </si>
  <si>
    <t>^(SWITCHCMD /fabos/cliexec/)?nsshow *(-r)? *:$</t>
  </si>
  <si>
    <t>switchcmd_nscamshow</t>
  </si>
  <si>
    <t>SWITCHCMD /fabos/cliexec/nscamshow -t :</t>
  </si>
  <si>
    <t>^(SWITCHCMD /fabos/cliexec/)?nscamshow *(-t)? *:$</t>
  </si>
  <si>
    <t>Port Index</t>
  </si>
  <si>
    <t>port_pid</t>
  </si>
  <si>
    <t>^ *([UNL]{1,2}) +([0-9a-f]{6}); +([\d,]+);([\w]{2}:[\w]{2}:[\w]{2}:[\w]{2}:[\w]{2}:[\w]{2}:[\w]{2}:[\w]{2});([\w]{2}:[\w]{2}:[\w]{2}:[\w]{2}:[\w]{2}:[\w]{2}:[\w]{2}:[\w]{2}); *([\w]+)?$</t>
  </si>
  <si>
    <t>N    130500;      3;50:01:43:80:23:1c:99:86;50:01:43:80:23:1c:99:87; 0x00000003</t>
  </si>
  <si>
    <t>Pid</t>
  </si>
  <si>
    <t>Type</t>
  </si>
  <si>
    <t>COS</t>
  </si>
  <si>
    <t>SCR</t>
  </si>
  <si>
    <t>pid_switchcmd_end</t>
  </si>
  <si>
    <t>FC4s</t>
  </si>
  <si>
    <t>PortSymb</t>
  </si>
  <si>
    <t>NodeSymb</t>
  </si>
  <si>
    <t>Fabric Port Name</t>
  </si>
  <si>
    <t>Fabric_Port_Name</t>
  </si>
  <si>
    <t>Permanent Port Name</t>
  </si>
  <si>
    <t>Permanent_Port_Name</t>
  </si>
  <si>
    <t>Device type</t>
  </si>
  <si>
    <t>Device_type</t>
  </si>
  <si>
    <t>Share Area</t>
  </si>
  <si>
    <t>Share_Area</t>
  </si>
  <si>
    <t>Redirect</t>
  </si>
  <si>
    <t>Partial</t>
  </si>
  <si>
    <t>Device Shared in Other AD</t>
  </si>
  <si>
    <t>Device_Shared_in_Other_AD</t>
  </si>
  <si>
    <t>LSAN</t>
  </si>
  <si>
    <t>Slow Drain Device</t>
  </si>
  <si>
    <t>Slow_Drain_Device</t>
  </si>
  <si>
    <t>Device link speed</t>
  </si>
  <si>
    <t>Device_link_speed</t>
  </si>
  <si>
    <t>Connected through AG</t>
  </si>
  <si>
    <t>Connected_through_AG</t>
  </si>
  <si>
    <t>Real device behind AG</t>
  </si>
  <si>
    <t>Real_device_behind_AG</t>
  </si>
  <si>
    <t>switchcmd_nsportshow</t>
  </si>
  <si>
    <t>^(SWITCHCMD /fabos/cliexec/)?ns +portshow *:$</t>
  </si>
  <si>
    <t>SWITCHCMD /fabos/cliexec/ns portshow :</t>
  </si>
  <si>
    <t>ns_portshow</t>
  </si>
  <si>
    <t>PORT: +(\d+) +fportSetup: +(.+?) +ifid: +(.+?) +zonetype: +(.+) +dhp: +(\d+) +inst: +(\d+)</t>
  </si>
  <si>
    <t>PORT: 4 fportSetup: 0x00150400 ifid: 0x4312001b zonetype: HARD WWN dhp: 0 inst: 1</t>
  </si>
  <si>
    <t>fportSetup</t>
  </si>
  <si>
    <t>ifid</t>
  </si>
  <si>
    <t>zonetype</t>
  </si>
  <si>
    <t>zoning_enforcement</t>
  </si>
  <si>
    <t>dhp</t>
  </si>
  <si>
    <t>inst</t>
  </si>
  <si>
    <t>removes uninformative Host_Names from fdmi</t>
  </si>
  <si>
    <t>fdmi</t>
  </si>
  <si>
    <t>hostname_clean</t>
  </si>
  <si>
    <t>[\da-f]{16}|[\da-f]{8}-([\da-f]{4}-){3}[\da-f]{8}|AG-FDMI|^ESXHost *$|^ ESXi *$|\(none\)|^localhost(?:.\w+)?|^QLGC IP REG: +(IPV[46] *: *0+ *)+$|^:?qlc\(?\d+(,\d+\))? *$|Linux-default|QLogic Port \(MH: put function here!\) pWWN [\d:a-f]{23}</t>
  </si>
  <si>
    <t>AG-FDMI</t>
  </si>
  <si>
    <t>^Embedded-AG$|</t>
  </si>
  <si>
    <t>blade_servers</t>
  </si>
  <si>
    <t>570c89c9-c923-8c76-4621-f0921c00</t>
  </si>
  <si>
    <t>ESXHost</t>
  </si>
  <si>
    <t>500143801209b65b</t>
  </si>
  <si>
    <t>Embedded-AG</t>
  </si>
  <si>
    <t>QLGC IP REG: IPV4 :00000000 IPV6 :00000000000000000000000000000000</t>
  </si>
  <si>
    <t>:qlc0</t>
  </si>
  <si>
    <t>qlc(0,0)</t>
  </si>
  <si>
    <t>Linux-default</t>
  </si>
  <si>
    <t>QLogic Port (MH: put function here!) pWWN 50:06:0b:00:00:c2:62:00</t>
  </si>
  <si>
    <t>removes brackets([]) and quatation marks</t>
  </si>
  <si>
    <t>nscamshow</t>
  </si>
  <si>
    <t>symb_clean</t>
  </si>
  <si>
    <t xml:space="preserve"> *\[\d+\] +"(.+)"</t>
  </si>
  <si>
    <t>[39] "QMI2472 FW:v5.03.15 DVR:v901.k1.1-14vmw"</t>
  </si>
  <si>
    <t xml:space="preserve"> *\[?\d*\]? *"([\w .:/-]+) *"?$</t>
  </si>
  <si>
    <t>nsshow</t>
  </si>
  <si>
    <t>extract model, driver, fw</t>
  </si>
  <si>
    <t>qlogic</t>
  </si>
  <si>
    <t>^(\w+) +FW:v([\d.]+) DVR:v([\w.-]+)</t>
  </si>
  <si>
    <t>QMH2572 FW:v8.01.02 DVR:v1.1.70.0</t>
  </si>
  <si>
    <t>qlogic_emulex_port</t>
  </si>
  <si>
    <t>^(QLogic|Emulex) +P(?:ort\d+ +p?WW)?P?N[ -]?([0-9a-f]{2}:){7}[0-9a-f]{2}(.+)?$</t>
  </si>
  <si>
    <t>QLogic Port0 WWPN 51:40:2e:c0:00:d3:c9:48.......................</t>
  </si>
  <si>
    <t>QLogic Port1 WWPN 50:01:43:80:23:1c:71:a2</t>
  </si>
  <si>
    <t>Emulex PPN-10:00:00:00:c9:ac:74:6a</t>
  </si>
  <si>
    <t>QLogic Port3 pWWN 10:00:9c:b6:54:84:f2:a5</t>
  </si>
  <si>
    <t>extract model, driver, fw, hostname, os</t>
  </si>
  <si>
    <t>emulex</t>
  </si>
  <si>
    <t>^(\w+) ([\w/-]+) +FV([\w.]+) +DV([\w.-]+)(?: +HN:)? *([\w.\(\)-]+)?(?: +OS:)?([\w .]+)?$</t>
  </si>
  <si>
    <t>Emulex LPe1205-HP FV2.03X6 DV11.1.145.18 HN:anhk-esx2-05.rosneft.ru OS:VMware ESXi 5.5.0</t>
  </si>
  <si>
    <t>Emulex LPe1105-HP FV2.72A2 DV8.2.3.1-129vmw</t>
  </si>
  <si>
    <t>Emulex LPe1205-HP FV1.11A5 DV11.0.0.5 HN:(none) OS:Linux</t>
  </si>
  <si>
    <t>extract model, fcoe driver</t>
  </si>
  <si>
    <t>qlogic_cna</t>
  </si>
  <si>
    <t>([\w ()]+) +v([\d.v]+) over +(\w+)</t>
  </si>
  <si>
    <t>QLogic 57810 bnx2fc v1.712.50.v55.7 over vmnic3</t>
  </si>
  <si>
    <t>duplicate with 19</t>
  </si>
  <si>
    <t>^(QLogic|Brocade)[ -]?(\d+) *(?:[\w]+)? *v?([\d.v]+)?(?:[\w ]+)?$</t>
  </si>
  <si>
    <t>^((QLogic|Brocade) \d+) *(?:[\w]+) +v([\d.v]+) over</t>
  </si>
  <si>
    <t>bnx2fc (QLogic BCM57840) v2.10.3 over eth2</t>
  </si>
  <si>
    <t>([\w ]+) +v([\d.v]+) over +(\w+?nic\d+)</t>
  </si>
  <si>
    <t>(Q[L|l]ogic|Brocade|Broadcom) +(\w+).+?v([\d.v]+) over +(\w+)</t>
  </si>
  <si>
    <t>extract hostname, os</t>
  </si>
  <si>
    <t>hpux</t>
  </si>
  <si>
    <t>^([\w_-]+)_(HP-UX_B.11.\d{2})$</t>
  </si>
  <si>
    <t>tps01_HP-UX_B.11.31</t>
  </si>
  <si>
    <t>extract model, sn</t>
  </si>
  <si>
    <t>storeonce_node</t>
  </si>
  <si>
    <t>^((HPE?) +(?:StoreOnce|D2D)) S/N-(\w{10}) (?:[\w \-\/]+)$</t>
  </si>
  <si>
    <t>HP StoreOnce S/N-CZ3636M301 HP StoreOnce Catalyst Over Fibre Channel 0</t>
  </si>
  <si>
    <t>HPE StoreOnce S/N-CZJ8220V88 Catalyst Over Fibre Channel Target 2</t>
  </si>
  <si>
    <t>HPE StoreOnce S/N-CZJ8220V88 Initiator 1</t>
  </si>
  <si>
    <t>HP D2D S/N-CZJ1430DSL HP D2DBS Diagnostic Fibre Channel S/N-MY513623X0</t>
  </si>
  <si>
    <t>HP D2D S/N-CZJ1430DSL HP Ultrium VT Fibre Channel S/N-CZJ1430DSN</t>
  </si>
  <si>
    <t>HP D2D S/N-CZJ1430DSL HP D2DBS Fibre Channel S/N-CZJ1430F03</t>
  </si>
  <si>
    <t>storeonce_port</t>
  </si>
  <si>
    <t>^((HPE?) +(?:D2D|StoreOnce)) +S/N-(\w{10,14}) +(?:[\w \/\-]+) +(Port[ \-]\d+)$</t>
  </si>
  <si>
    <t>HPE StoreOnce S/N-CZJ8220V88 Catalyst Over Fibre Channel Target 1 Port 1</t>
  </si>
  <si>
    <t>HP StoreOnce S/N-hp80c16e26d61e HP StoreOnce Catalyst Over Fibre Channel S/N-6C4315403U Port-0</t>
  </si>
  <si>
    <t>HP D2D S/N-CZJ1430DSL HP D2DBS Diagnostic Fibre Channel S/N-MY513623X0 Port-1</t>
  </si>
  <si>
    <t>HP D2D S/N-CZJ1430DSL HP Ultrium VT Fibre Channel S/N-CZJ1430DSN Port-1</t>
  </si>
  <si>
    <t>HP D2D S/N-CZJ1430DSL HP D2DBS Fibre Channel S/N-CZJ1430F03 Port-1</t>
  </si>
  <si>
    <t>3par_node</t>
  </si>
  <si>
    <t>^(((HPE?)_3PAR(?: +InServ)? *\w{4,}) *- *([\w]+)) *- *fw:([\d]+)$</t>
  </si>
  <si>
    <t>HP_3PAR 8200 - CZ3636N65C - fw:3224</t>
  </si>
  <si>
    <t>HP_3PAR 7400 - 1638303 - fw:3226</t>
  </si>
  <si>
    <t>HPE_3PAR 8450 - CZ37191P9C - fw:3312</t>
  </si>
  <si>
    <t>HP_3PAR 7400c - 1687948 - fw:3224</t>
  </si>
  <si>
    <t>HP_3PAR InServ V400 - 1408493 - fw:3215</t>
  </si>
  <si>
    <t>HPE_3PAR 20800_R2 - CZ37464CPY - fw:3312</t>
  </si>
  <si>
    <t>extract controller port number</t>
  </si>
  <si>
    <t>3par_port</t>
  </si>
  <si>
    <t>^\w+ +- +(\d:\d:\d) +- +([\w]+)</t>
  </si>
  <si>
    <t>CZ3727BSAS - 3:0:2 - LPE16002</t>
  </si>
  <si>
    <t>1687193 - 0:2:3 - LPe12004</t>
  </si>
  <si>
    <t>extract model, fw, sn</t>
  </si>
  <si>
    <t>ultrium</t>
  </si>
  <si>
    <t>^((\w+) +U[LlTt]+[\w\-]+ ?\d?[ -]?(?:SCSI|Fibre Channel)? ?(?:\w{2})?) +(\w{4})? ?(?:S/N-)?(\w{10})?$</t>
  </si>
  <si>
    <t>HP Ultrium 6 Fibre Channel 25MW S/N-8026D7F727</t>
  </si>
  <si>
    <t>HP Ultrium 5 Fibre Channel Y6DW S/N-HUE5491EPG</t>
  </si>
  <si>
    <t>HP Ultrium 6 Fibre Channel S/N-82C6E3D055</t>
  </si>
  <si>
    <t>HP Ultrium 7-SCSI FH KAH0 80128E4019</t>
  </si>
  <si>
    <t>HPE Ultrium 8-SCSI HH KAH1 C013532B09</t>
  </si>
  <si>
    <t>IBM ULT3580-HH7 HH K4K1 115657D05B</t>
  </si>
  <si>
    <t>IBM ULTRIUM-HH6 HH G9P3 10WT116924</t>
  </si>
  <si>
    <t>IBM     ULTRIUM-TD4     C7QH</t>
  </si>
  <si>
    <t>extract msl model, sn</t>
  </si>
  <si>
    <t>^((?:[\w ]+) +Library) +S/N[ -]?(\w+) +v?(Port(?:-\w)?)?$</t>
  </si>
  <si>
    <t>MSL G3 Series Library S/N DEC25104YW vPort-A</t>
  </si>
  <si>
    <t>MSL G3 Series Library S/N DEC12000E0 vPort</t>
  </si>
  <si>
    <t>Tape Library S/N-2U33250114_LL0 vPort-A</t>
  </si>
  <si>
    <t>extract eva controller, name</t>
  </si>
  <si>
    <t>eva</t>
  </si>
  <si>
    <t>^(HSV\d{3}) +- +([\w \-]+) +- +CR\w{4} *$</t>
  </si>
  <si>
    <t>HSV450 - EVA8400_SEODO_TEX - CR2306</t>
  </si>
  <si>
    <t>HSV360 - EVA6500 - CR2306</t>
  </si>
  <si>
    <t>HSV340 - MTGCOD_P6300-1 - CR1F1B</t>
  </si>
  <si>
    <t>extract msa, p2000 model, fw</t>
  </si>
  <si>
    <t>xp_msa</t>
  </si>
  <si>
    <t>^(([A-Z]+) +[\w -]+) +([A-Za-z\d.]{4})$</t>
  </si>
  <si>
    <t>HP      HSV450          1130</t>
  </si>
  <si>
    <t>^(([A-Z]+) +[\w -]+) +([A-Za-z\d]{4})$</t>
  </si>
  <si>
    <t>HP      DISK-SUBSYSTEM  6008</t>
  </si>
  <si>
    <t>last</t>
  </si>
  <si>
    <t>HP      MSA2312fc       M113</t>
  </si>
  <si>
    <t>HP      P2000 G3 FC     T251</t>
  </si>
  <si>
    <t>HITACHI DF600F          0000</t>
  </si>
  <si>
    <t>IBM     1815      FAStT 0914</t>
  </si>
  <si>
    <t>HP      NS E1200-160    5953</t>
  </si>
  <si>
    <t>HITACHI OPEN-V          5001</t>
  </si>
  <si>
    <t>HP MSA 2040 SAN G22x</t>
  </si>
  <si>
    <t>STK SL3000 4.51</t>
  </si>
  <si>
    <t>infinibox</t>
  </si>
  <si>
    <t>^((NFINIDAT)InfiniBox) *\w*$</t>
  </si>
  <si>
    <t>NFINIDATInfiniBox       0h</t>
  </si>
  <si>
    <t>emc_vplex</t>
  </si>
  <si>
    <t>^(EMC) +(\w+) +([\w]+) +(?:\w+)? ?([\w\-]+)?$</t>
  </si>
  <si>
    <t>EMC VPLEX CKM00145100127   00000000477070AF</t>
  </si>
  <si>
    <t>EMC VPLEX CKM00145201113   00000000476067C9 A2-FC01</t>
  </si>
  <si>
    <t>clarion</t>
  </si>
  <si>
    <t>^(\w+):+(SP\w+):+FC:+$</t>
  </si>
  <si>
    <t>CLARiiON::::SPA00::FC::::::</t>
  </si>
  <si>
    <t>CLARiiON::::SPB02::FC::::::</t>
  </si>
  <si>
    <t>UNITY::::SPB24::FC::::::</t>
  </si>
  <si>
    <t>perenthesis_remove</t>
  </si>
  <si>
    <t>not used ns_split</t>
  </si>
  <si>
    <t>^([\w ./-]+) *[([].+[])]</t>
  </si>
  <si>
    <t>VMware ESXi-6.0.0 (Releasebuild-10719132)</t>
  </si>
  <si>
    <t>^([\w ./-]+) *\(?[\w. /-]*\)? *$</t>
  </si>
  <si>
    <t>8.07.00 (90d5)</t>
  </si>
  <si>
    <t>8.03.02 [Class 2] [Multi-ID] [T10 CRC]</t>
  </si>
  <si>
    <t>cna_adapter</t>
  </si>
  <si>
    <t>fnic v1.6.0.37 over fnic1</t>
  </si>
  <si>
    <t>diplicate with 5</t>
  </si>
  <si>
    <t>unused</t>
  </si>
  <si>
    <t>^\wnic +v([\d.]+) +over +\wnic(\d)$</t>
  </si>
  <si>
    <t>qlogic_fcoe</t>
  </si>
  <si>
    <t>^(Q[lL]ogic|Broadcom) +([A-Z\d]+?) +FCoE +([\d.]+) +([\d.]+) +([\w.\(\)-]+)</t>
  </si>
  <si>
    <t>QLogic BCM57840 FCoE 7.14.18.0 7.13.161.0 SRVAP1862</t>
  </si>
  <si>
    <t>Broadcom BCM57840 FCoE 7.10.73.0 7.10.70.0 BS025</t>
  </si>
  <si>
    <t>netapp_node</t>
  </si>
  <si>
    <t>((NetApp) [\w-]+?) +\(?([\w/-]+)\)?</t>
  </si>
  <si>
    <t>NetApp Vserver netappb72a</t>
  </si>
  <si>
    <t>^((NetApp) +Vserver) +([\w-]+) *$</t>
  </si>
  <si>
    <t>NetApp FAS8200 (netappb73-node2/netappb73-node1)</t>
  </si>
  <si>
    <t>NetApp FAS8040 (netappm12-02/netappm12-01)</t>
  </si>
  <si>
    <t>ibm_flash</t>
  </si>
  <si>
    <t>^((IBM) +FlashSystem)-(\d+) *$</t>
  </si>
  <si>
    <t>IBM FlashSystem-98401303</t>
  </si>
  <si>
    <t>data_domain</t>
  </si>
  <si>
    <t>(Data Domain FC Adapter)</t>
  </si>
  <si>
    <t>Data Domain FC Adapter</t>
  </si>
  <si>
    <t>release_remove</t>
  </si>
  <si>
    <t>^([\w ./-]+) +Release.+$</t>
  </si>
  <si>
    <t>VMware ESXi 6.5.0 Releasebuild-8294253</t>
  </si>
  <si>
    <t>ag_switch</t>
  </si>
  <si>
    <t>(?:Embedded|Brocade)-AG +\| +(.+?) +\| +\d+? +\| +([\d.]+) +\| +(.+)</t>
  </si>
  <si>
    <t>Embedded-AG | SW73_BL4_1 | 75 | 192.168.58.91 | v7.4.2c</t>
  </si>
  <si>
    <t>Brocade-AG | VCFC2CN8113D05D | 82 | 10.1.75.64 | v7.4.0_cbn3a</t>
  </si>
  <si>
    <t>netapp_port</t>
  </si>
  <si>
    <t>NetApp +FC +Target +(?:Adapter|Port) +[\w()]+ +([\w:-]+)</t>
  </si>
  <si>
    <t>NetApp FC Target Port (8324) netappb72a:netappb72a-lif1</t>
  </si>
  <si>
    <t>NetApp FC Target Adapter (8324) netappm12-01:0f</t>
  </si>
  <si>
    <t>qlogic_brocade</t>
  </si>
  <si>
    <t>((QLogic|Brocade|Qlogic)-\w+) +\| *([\w.]+)? *\| *([\w-]+)? *\| *([\w ]+)? *\|</t>
  </si>
  <si>
    <t>Brocade-804 | 3.2.1.0 | MSK-KB-CV01 | Windows Server 2008 R2 Standard | Service Pack 1</t>
  </si>
  <si>
    <t>QLogic-804 | 3.2.5.0 | MSK-DM-FS04 | Windows Server 2012 R2 Standard | N/A</t>
  </si>
  <si>
    <t>Brocade-804 | 3.2.3.1 | MSK-DM-FS14 | |</t>
  </si>
  <si>
    <t>QLogic-804 | 3.2.25.0 | | |</t>
  </si>
  <si>
    <t>dell_storage</t>
  </si>
  <si>
    <t>Compellent Port.+?(Slot=\d+ +Port=\d+ in Controller: +\w+) +Controller of (Storage Center): +([\w.-]+)</t>
  </si>
  <si>
    <t>Compellent Port QLGC FC 16/32Gbps; Slot=01 Port=01 in Controller: Top Controller of Storage Center: kx370</t>
  </si>
  <si>
    <t>Compellent Port QLGC FC 16/32Gbps; Slot=01 Port=01 in Controller: Bottom Controller of Storage Center: kx370</t>
  </si>
  <si>
    <t>Compellent Storage Center: kx370 #node example</t>
  </si>
  <si>
    <t>storage_ports</t>
  </si>
  <si>
    <t>Device_Port</t>
  </si>
  <si>
    <t>3par_ctrl_slot_port</t>
  </si>
  <si>
    <t>^(\d):(\d):(\d)$</t>
  </si>
  <si>
    <t>0:1:1</t>
  </si>
  <si>
    <t>msa_ctrl_port</t>
  </si>
  <si>
    <t>^([A-Z])(\d)$</t>
  </si>
  <si>
    <t>A1</t>
  </si>
  <si>
    <t>emc_ctrl_slot_port</t>
  </si>
  <si>
    <t>^SP([A-Z])(\d)(\d)$</t>
  </si>
  <si>
    <t>SPA20</t>
  </si>
  <si>
    <t>huawei_manufacturer</t>
  </si>
  <si>
    <t>^(huawei corporation)$</t>
  </si>
  <si>
    <t>huawei corporation</t>
  </si>
  <si>
    <t>symmetrix_storage</t>
  </si>
  <si>
    <t>(SYMMETRIX)::\d+::(.+?)::FC::.+</t>
  </si>
  <si>
    <t>SYMMETRIX::000297801881::SAF-1d 6::FC::5978_0479+::EMUL B90F0000 67843212 E9FEB8 09.15.20 17:10.</t>
  </si>
  <si>
    <t>cisco_sw</t>
  </si>
  <si>
    <t>(.+?):(fc.+?)\.</t>
  </si>
  <si>
    <t>DA1-DRDC-032-001:fc4/16.</t>
  </si>
  <si>
    <t>skip_symb</t>
  </si>
  <si>
    <t>^QLogic qedf v[\d.]+$</t>
  </si>
  <si>
    <t>QLogic qedf v8.42.3.0</t>
  </si>
  <si>
    <t>isl_params</t>
  </si>
  <si>
    <t>isl_params_add</t>
  </si>
  <si>
    <t>isl_columns</t>
  </si>
  <si>
    <t>trunk_columns</t>
  </si>
  <si>
    <t>porttrunkarea_columns</t>
  </si>
  <si>
    <t>lsdb_params</t>
  </si>
  <si>
    <t>lsdb_columns</t>
  </si>
  <si>
    <t>switchcmd_islshow</t>
  </si>
  <si>
    <t>SWITCHCMD /fabos/cliexec/islshow :</t>
  </si>
  <si>
    <t>^(SWITCHCMD /fabos/cliexec/)?islshow *:$</t>
  </si>
  <si>
    <t>FC_router</t>
  </si>
  <si>
    <t>ISL_number</t>
  </si>
  <si>
    <t>islshow</t>
  </si>
  <si>
    <t>^ *(\d+): *(\d+) *-&gt; *(\d+) *([\w]{2}:[\w]{2}:[\w]{2}:[\w]{2}:[\w]{2}:[\w]{2}:[\w]{2}:[\w]{2}) *(\d+) *([\w.-]+) *sp: *([\w./-]+) *bw: *([\w./-]+) *([\w ]+)?$</t>
  </si>
  <si>
    <t>1:132-&gt;  0 10:00:c4:f5:7c:ae:d9:bc  18 swDC_12  sp: 16.000G bw: 32.000G TRUNK QOS CR_RECOV FEC</t>
  </si>
  <si>
    <t>Port_index</t>
  </si>
  <si>
    <t>Neighbour_switch_port_index</t>
  </si>
  <si>
    <t>Connected_portIndex</t>
  </si>
  <si>
    <t>Neighbour_switch_wwn</t>
  </si>
  <si>
    <t>Connected_switchWwn</t>
  </si>
  <si>
    <t>Neighbour_switch_did</t>
  </si>
  <si>
    <t>Connected_switchDID</t>
  </si>
  <si>
    <t>Neighbour_switch_name</t>
  </si>
  <si>
    <t>ISL_Connected_SwitchName</t>
  </si>
  <si>
    <t>Bandwidth</t>
  </si>
  <si>
    <t>Parameters</t>
  </si>
  <si>
    <t>switchcmd_trunkshow</t>
  </si>
  <si>
    <t>SWITCHCMD /fabos/cliexec/trunkshow :</t>
  </si>
  <si>
    <t>^(SWITCHCMD /fabos/cliexec/)?trunkshow *:$</t>
  </si>
  <si>
    <t>Trunking Group Number</t>
  </si>
  <si>
    <t>trunkshow</t>
  </si>
  <si>
    <t>7: 36-&gt; 34 10:00:c4:f5:7c:ae:d9:bc  18 deskew 15 MASTER</t>
  </si>
  <si>
    <t>Trunking_GroupNumber</t>
  </si>
  <si>
    <t>Switch_port_index</t>
  </si>
  <si>
    <t xml:space="preserve">      3-&gt;  1 10:00:00:27:f8:32:db:00  33 deskew 15 </t>
  </si>
  <si>
    <t>Connected_switch_port_index</t>
  </si>
  <si>
    <t>Connected_switch_WWN</t>
  </si>
  <si>
    <t>Connected_switch_DID</t>
  </si>
  <si>
    <t>deskew</t>
  </si>
  <si>
    <t>Master</t>
  </si>
  <si>
    <t>switchcmd_trunkarea</t>
  </si>
  <si>
    <t>SWITCHCMD /fabos/link_sbin/porttrunkarea --show enabled :</t>
  </si>
  <si>
    <t>^(SWITCHCMD /fabos/link_sbin/)?porttrunkarea --show enabled *:$</t>
  </si>
  <si>
    <t>porttrunkarea</t>
  </si>
  <si>
    <t>^ *(\d{1,2})? +(\d{1,2}) +(F-port|EX-port|--) +(Master|Slave|--) +(?:(\d{1,2})/)?(\d{1,2}|--) +(\d{1,4}) +(\d{1,4}) *$</t>
  </si>
  <si>
    <t xml:space="preserve">  1    24   F-port Master    1/24  136 136</t>
  </si>
  <si>
    <t xml:space="preserve">  1   F-port  Slave   0       0   1   </t>
  </si>
  <si>
    <t>State</t>
  </si>
  <si>
    <t xml:space="preserve">  3   --      --      --      0   3   </t>
  </si>
  <si>
    <t>Master_slot</t>
  </si>
  <si>
    <t xml:space="preserve">  4    30   --      --     --      190 190 </t>
  </si>
  <si>
    <t>Master_port</t>
  </si>
  <si>
    <t>Trunk_Area_Index</t>
  </si>
  <si>
    <t>TrunkArea_Index</t>
  </si>
  <si>
    <t>Default_Area_Index</t>
  </si>
  <si>
    <t>DefaultArea_Index</t>
  </si>
  <si>
    <t>switchcmd_lsdbshow</t>
  </si>
  <si>
    <t>SWITCHCMD /fabos/cliexec/lsdbshow -1 :</t>
  </si>
  <si>
    <t>^(SWITCHCMD /fabos/cliexec/)?lsdbshow.+:$</t>
  </si>
  <si>
    <t>Domain</t>
  </si>
  <si>
    <t>lsdb_domain</t>
  </si>
  <si>
    <t>^Domain *= *(\d+) *(?:\((self)\))?, +Link State Database Entry</t>
  </si>
  <si>
    <t>Domain = 49 (self), Link State Database Entry pointer = 0x102e0d30</t>
  </si>
  <si>
    <t>Domain = 13, Link State Database Entry pointer = 0x195005b8</t>
  </si>
  <si>
    <t>self_tag</t>
  </si>
  <si>
    <t>uPathCost</t>
  </si>
  <si>
    <t>lsdb_param</t>
  </si>
  <si>
    <t>^([\w\[\] ]+) += +([\w \:\.]+)</t>
  </si>
  <si>
    <t>linkCnt = 3, flags = 0x0</t>
  </si>
  <si>
    <t>uPrgmPathCost</t>
  </si>
  <si>
    <t>installTime = May 20 08:23:57.713</t>
  </si>
  <si>
    <t>uOldHopCount</t>
  </si>
  <si>
    <t>uPathCost = 1000</t>
  </si>
  <si>
    <t>uPrgmHopCount</t>
  </si>
  <si>
    <t>uHopsFromRoot</t>
  </si>
  <si>
    <t>uPathCount</t>
  </si>
  <si>
    <t>parent</t>
  </si>
  <si>
    <t>mPathCost</t>
  </si>
  <si>
    <t>mHopsFromRoot</t>
  </si>
  <si>
    <t>lsId</t>
  </si>
  <si>
    <t>advertiser</t>
  </si>
  <si>
    <t>linkCnt</t>
  </si>
  <si>
    <t xml:space="preserve">LinkId </t>
  </si>
  <si>
    <t>lsdb_link</t>
  </si>
  <si>
    <t>LinkId =  17, out port = 384, rem port = 384, cost = 500, bw = 64G, type = 1</t>
  </si>
  <si>
    <t>remote_domain</t>
  </si>
  <si>
    <t>out port</t>
  </si>
  <si>
    <t>rem port</t>
  </si>
  <si>
    <t>remote_portIndex</t>
  </si>
  <si>
    <t>cost</t>
  </si>
  <si>
    <t>bw</t>
  </si>
  <si>
    <t>bandwidth</t>
  </si>
  <si>
    <t>switchcmd_lsdb_param_end</t>
  </si>
  <si>
    <t>remove, not used</t>
  </si>
  <si>
    <t>(^LinkId *= *(\d+), *out *port *= *(\d+), *rem *port *= *(\d+), *cost *= *(\d+), *bw *= *(\d+G), *type *= *\d+)|^(real [\w.]+)|((\*\* SS CMD END \*\*) *$)</t>
  </si>
  <si>
    <t>fcrfabric_params</t>
  </si>
  <si>
    <t>fcrfabric_params_add</t>
  </si>
  <si>
    <t>fcrfabric_columns</t>
  </si>
  <si>
    <t>fcrproxydev_columns</t>
  </si>
  <si>
    <t>fcrphydev_columns</t>
  </si>
  <si>
    <t>lsan_columns</t>
  </si>
  <si>
    <t>fcredge_columns</t>
  </si>
  <si>
    <t>fcrresource_params</t>
  </si>
  <si>
    <t>fcrresource_columns</t>
  </si>
  <si>
    <t>fcrxlateconfig_columns</t>
  </si>
  <si>
    <t>principal_switch_index</t>
  </si>
  <si>
    <t>switchcmd_fcrfabricshow</t>
  </si>
  <si>
    <t>BASESWCMD fcrfabricshow:</t>
  </si>
  <si>
    <t>^(?:BASESWCMD|SWITCHCMD) *fcrfabricshow:$</t>
  </si>
  <si>
    <t>principal_switchName</t>
  </si>
  <si>
    <t>principal_switchWwn</t>
  </si>
  <si>
    <t>FC Router WWN</t>
  </si>
  <si>
    <t>fc_router</t>
  </si>
  <si>
    <t>^FC Router WWN: *([\w:]+), *Dom ID: *(\d+), *$</t>
  </si>
  <si>
    <t>FC Router WWN: 10:00:00:27:f8:7b:6e:02, Dom ID:  11,</t>
  </si>
  <si>
    <t>BB_Fabric_ID</t>
  </si>
  <si>
    <t>FC Router DID</t>
  </si>
  <si>
    <t>FCRouter_name</t>
  </si>
  <si>
    <t>FC Router name</t>
  </si>
  <si>
    <t>fcr_info</t>
  </si>
  <si>
    <t>^ *Info: *[0-9.]+, *"([\w-]+)"$</t>
  </si>
  <si>
    <t>Info: 10.99.250.61, "swDC_61r"</t>
  </si>
  <si>
    <t>FCRouter_WWN</t>
  </si>
  <si>
    <t xml:space="preserve"> EX_Port</t>
  </si>
  <si>
    <t>fcr_exports</t>
  </si>
  <si>
    <t>^ *(\d+) *(\d+) *([\d.]+) *([\w:]+) *"([\w-]+)"/*$</t>
  </si>
  <si>
    <t>18 111 10.99.250.61     10:00:00:27:f8:7b:6e:01   "swDC_61"</t>
  </si>
  <si>
    <t>FCRouter_DID</t>
  </si>
  <si>
    <t>FID</t>
  </si>
  <si>
    <t>FCRouter_EX_port</t>
  </si>
  <si>
    <t>Neighbor Switch enet IP</t>
  </si>
  <si>
    <t>EX_port_FID</t>
  </si>
  <si>
    <t>Neighbor Switch WWN</t>
  </si>
  <si>
    <t>EX_port_switch_IP</t>
  </si>
  <si>
    <t>Neighbor Switch name</t>
  </si>
  <si>
    <t>EX_port_switchWwn</t>
  </si>
  <si>
    <t>real 0m0.345s</t>
  </si>
  <si>
    <t>^(real +[\w\.]+) *$|(\*\* SS CMD END \*\*) *$</t>
  </si>
  <si>
    <t>EX_port_switchName</t>
  </si>
  <si>
    <t>switchcmd_fcrproxydevshow</t>
  </si>
  <si>
    <t>BASESWCMD fcrproxydevshow -a:</t>
  </si>
  <si>
    <t>^(?:BASESWCMD|SWITCHCMD) *fcrproxydevshow -a:$</t>
  </si>
  <si>
    <t>switchcmd_fcrphydevshow</t>
  </si>
  <si>
    <t>BASESWCMD fcrphydevshow -a:</t>
  </si>
  <si>
    <t>^(?:BASESWCMD|SWITCHCMD) *fcrphydevshow -a:$</t>
  </si>
  <si>
    <t>Proxy Created in Fabric</t>
  </si>
  <si>
    <t>fcrproxydev</t>
  </si>
  <si>
    <t>^ *(\d+) *([a-f0-9:]{23}) *([a-z0-9]{6}) *(\d+)? *([a-z0-9]{6})? *(\w+)?$</t>
  </si>
  <si>
    <t>112   20:22:00:02:ac:01:54:99  01f406      122      72b7c0   Imported</t>
  </si>
  <si>
    <t>Proxy_Created_in_Fabric</t>
  </si>
  <si>
    <t>Device port WWN</t>
  </si>
  <si>
    <t>fcrphydev</t>
  </si>
  <si>
    <t>^ *(\d+) *([a-f0-9:]{23}) *([a-z0-9]{6}) *$</t>
  </si>
  <si>
    <t>111    20:11:00:02:ac:00:c6:41  89be00</t>
  </si>
  <si>
    <t>Device_portWwn</t>
  </si>
  <si>
    <t>Proxy PID</t>
  </si>
  <si>
    <t>Proxy_PID</t>
  </si>
  <si>
    <t>Device Exists in Fabric</t>
  </si>
  <si>
    <t>Device_Exists_in_Fabric</t>
  </si>
  <si>
    <t>Physical PID</t>
  </si>
  <si>
    <t>Physical_PID</t>
  </si>
  <si>
    <t>real 0m0.078s</t>
  </si>
  <si>
    <t>switchcmd_lsanzoneshow</t>
  </si>
  <si>
    <t>BASESWCMD lsanzoneshow -d:</t>
  </si>
  <si>
    <t>^(?:BASESWCMD|SWITCHCMD) *lsanzoneshow -d:$</t>
  </si>
  <si>
    <t>lsan_name</t>
  </si>
  <si>
    <t>^Fabric ID: +(\d+) +Zone Name: +([\w.-]+) *$</t>
  </si>
  <si>
    <t>Fabric ID: 111 Zone Name: lsan_ext_pz_msl6480b</t>
  </si>
  <si>
    <t>Zone_Created_Fabric_ID</t>
  </si>
  <si>
    <t>Zone Name</t>
  </si>
  <si>
    <t>zone</t>
  </si>
  <si>
    <t>Zone Member</t>
  </si>
  <si>
    <t>lsan_members</t>
  </si>
  <si>
    <t>^ *([a-f0-9:]{23}) *([\w ]+)$</t>
  </si>
  <si>
    <t>50:01:43:80:26:d8:03:78  Imported from FID 121</t>
  </si>
  <si>
    <t>zone_member</t>
  </si>
  <si>
    <t>LSAN_device_state</t>
  </si>
  <si>
    <t>lsan_switchcmd_end</t>
  </si>
  <si>
    <t>^(real [\w.]+)|^(\*\* SS CMD END \*\*)|^Fabric ID: +(\d+) +Zone Name: +([\w.-]+) *$</t>
  </si>
  <si>
    <t>switchcmd_fcredgeshow</t>
  </si>
  <si>
    <t>BASESWCMD fcredgeshow:</t>
  </si>
  <si>
    <t>^(?:BASESWCMD|SWITCHCMD) *fcredgeshow: *$</t>
  </si>
  <si>
    <t>SWITCHCMD fcredgeshow:</t>
  </si>
  <si>
    <t>EX-port FID</t>
  </si>
  <si>
    <t>fcredgeshow</t>
  </si>
  <si>
    <t>^ *(\d+) *(?:(\d+)/)? *(\d+) +(\d+) +([a-f0-9:]{23}) *([a-f0-9:]{23}) *([\w]+) *$</t>
  </si>
  <si>
    <t>122    1/ 4     2  20:02:c4:f5:7c:ae:d9:bc 10:00:c4:f5:7c:ae:d9:bc FEC</t>
  </si>
  <si>
    <t>Connected_FID</t>
  </si>
  <si>
    <t>^ *(\d+) *(\d+)/ *(\d+) *(\d{1,4}) *([a-f0-9:]{23}) *([a-f0-9:]{23}) *([\w]+) *$</t>
  </si>
  <si>
    <t>EX-port Slot</t>
  </si>
  <si>
    <t xml:space="preserve">17    10   281  2e:19:00:05:33:9a:70:00 10:00:00:05:33:9a:70:00 FEC </t>
  </si>
  <si>
    <t>EX-port Port</t>
  </si>
  <si>
    <t>Remote E_Port</t>
  </si>
  <si>
    <t>Neighbor switch PWWN</t>
  </si>
  <si>
    <t>Connected_switch_PWwn</t>
  </si>
  <si>
    <t>Neighbor switch SWWN</t>
  </si>
  <si>
    <t>Flags</t>
  </si>
  <si>
    <t>switchcmd_fcrresourceshow</t>
  </si>
  <si>
    <t>BASESWCMD fcrresourceshow:</t>
  </si>
  <si>
    <t>^(?:BASESWCMD|SWITCHCMD) *fcrresourceshow: *$</t>
  </si>
  <si>
    <t>LSAN Zones Max</t>
  </si>
  <si>
    <t>fcrresourceshow</t>
  </si>
  <si>
    <t>^ *([\w ]+): *(\d+) +(\d+)$</t>
  </si>
  <si>
    <t>LSAN Zones:                3000                  36</t>
  </si>
  <si>
    <t>LSAN Zones</t>
  </si>
  <si>
    <t>LSAN_Zones_Max</t>
  </si>
  <si>
    <t>LSAN Zones Used</t>
  </si>
  <si>
    <t>LSAN Devices</t>
  </si>
  <si>
    <t>LSAN_Zones_Used</t>
  </si>
  <si>
    <t>LSAN Devices Max</t>
  </si>
  <si>
    <t>Proxy Device Slots</t>
  </si>
  <si>
    <t>LSAN_Devices_Max</t>
  </si>
  <si>
    <t>LSAN Devices Used</t>
  </si>
  <si>
    <t>Phantom Node WWN</t>
  </si>
  <si>
    <t>LSAN_Devices_Used</t>
  </si>
  <si>
    <t>Proxy Device Slots Max</t>
  </si>
  <si>
    <t>Phantom Port WWN</t>
  </si>
  <si>
    <t>Proxy_Device_Slots_Max</t>
  </si>
  <si>
    <t>Proxy Device Slots Used</t>
  </si>
  <si>
    <t>Proxy_Device_Slots_Used</t>
  </si>
  <si>
    <t>Phantom Node WWN Max</t>
  </si>
  <si>
    <t>Phantom_Node_WWN_Pool_Size</t>
  </si>
  <si>
    <t>Phantom Node WWN Used</t>
  </si>
  <si>
    <t>Phantom_Node_WWN_Allocated</t>
  </si>
  <si>
    <t>Phantom Port WWN Max</t>
  </si>
  <si>
    <t>Phantom_Port_WWN_Pool_Size</t>
  </si>
  <si>
    <t>Phantom Port WWN Used</t>
  </si>
  <si>
    <t>Phantom_Port_WWN_Allocated</t>
  </si>
  <si>
    <t>switchcmd_fcrxlateconfig</t>
  </si>
  <si>
    <t>SWITCHCMD fcrxlateconfig:</t>
  </si>
  <si>
    <t>^(?:BASESWCMD|SWITCHCMD) *fcrxlateconfig:$</t>
  </si>
  <si>
    <t>BASESWCMD fcrxlateconfig:</t>
  </si>
  <si>
    <t>ImportedFid</t>
  </si>
  <si>
    <t>fcrxlateconfig</t>
  </si>
  <si>
    <t>^ +(\d+) +(\d+) +(\d+) +([\w/]+) +([\w:/]+) *$</t>
  </si>
  <si>
    <t>018      012          096       000054    58:89:47:17:e7:dc:8f:01</t>
  </si>
  <si>
    <t>ExportedFid</t>
  </si>
  <si>
    <t>018      012          096       000054    N/A</t>
  </si>
  <si>
    <t>001 005 003 N/A N/A</t>
  </si>
  <si>
    <t>OwnerDid</t>
  </si>
  <si>
    <t>XlateWWN</t>
  </si>
  <si>
    <t>sensor_params</t>
  </si>
  <si>
    <t>sensor_params_add</t>
  </si>
  <si>
    <t>sensor_columns</t>
  </si>
  <si>
    <t>switchcmd_sensorhow</t>
  </si>
  <si>
    <t>SWITCHCMD /fabos/cliexec/sensorshow:</t>
  </si>
  <si>
    <t>^((SWITCHCMD|CHASSISCMD) */fabos/cliexec/)?sensorshow *:$</t>
  </si>
  <si>
    <t>Number</t>
  </si>
  <si>
    <t>^\bsensor\b +(\d+): \(([A-Za-z ]+) *\) +is +(\w+)(?:, *[a-z]+ +is +)?(\d+)? ?(\w+)?$</t>
  </si>
  <si>
    <t>sensor  1: (Temperature) is Ok, value is 26 C</t>
  </si>
  <si>
    <t>Status</t>
  </si>
  <si>
    <t>sensor 27: (Temperature) is Absent</t>
  </si>
  <si>
    <t>Vlaue</t>
  </si>
  <si>
    <t>sensor 28: (Fan        ) is Ok,speed is 4089 RPM</t>
  </si>
  <si>
    <t>Unit</t>
  </si>
  <si>
    <t>sensor 31: (Power Supply) is Ok</t>
  </si>
  <si>
    <t>Value</t>
  </si>
  <si>
    <t>fabric_columns</t>
  </si>
  <si>
    <t>ag_params</t>
  </si>
  <si>
    <t>ag_columns</t>
  </si>
  <si>
    <t>fabric_labels</t>
  </si>
  <si>
    <t>switchcmd_fabricshow</t>
  </si>
  <si>
    <t>^(SWITCHCMD /fabos/cliexec/)?fabricshow\s*:$</t>
  </si>
  <si>
    <t>SWITCHCMD /fabos/cliexec/fabricshow :</t>
  </si>
  <si>
    <t>Switch ID</t>
  </si>
  <si>
    <t>^ *(\d+): +(\w{6}) +([\w:]+) +([\d.]+) +([\d.]+) +&gt;?"([\w-]+)" *$</t>
  </si>
  <si>
    <t>113: fffc71 10:00:50:eb:1a:93:b8:f9 10.99.251.71    0.0.0.0         "swDC_71"</t>
  </si>
  <si>
    <t>Principal_switch_index</t>
  </si>
  <si>
    <t>Worldwide Name</t>
  </si>
  <si>
    <t>Principal_switch_name</t>
  </si>
  <si>
    <t>Enet IP Addr</t>
  </si>
  <si>
    <t>Principal_switch_wwn</t>
  </si>
  <si>
    <t>FC IP Addr</t>
  </si>
  <si>
    <t>Name</t>
  </si>
  <si>
    <t>FC_Route</t>
  </si>
  <si>
    <t>Domain_ID</t>
  </si>
  <si>
    <t>Switch_ID</t>
  </si>
  <si>
    <t>Worldwide_Name</t>
  </si>
  <si>
    <t>Enet_IP_Addr</t>
  </si>
  <si>
    <t>FC_IP_Addr</t>
  </si>
  <si>
    <t>switchcmd_agshow</t>
  </si>
  <si>
    <t>SWITCHCMD /fabos/cliexec/ms agshow --all :</t>
  </si>
  <si>
    <t>^(SWITCHCMD /fabos/cliexec/)?ms agshow --all *:$</t>
  </si>
  <si>
    <t>ag_num</t>
  </si>
  <si>
    <t>^AG +#(\d+):$</t>
  </si>
  <si>
    <t>AG #10:</t>
  </si>
  <si>
    <t>ag_info</t>
  </si>
  <si>
    <t>^([a-zA-Z-() ]+): *([\w,:.-]+)$</t>
  </si>
  <si>
    <t>Name : swdv_195</t>
  </si>
  <si>
    <t>AG_Switch_Name</t>
  </si>
  <si>
    <t>AG_Switch_Type</t>
  </si>
  <si>
    <t>AG_Switch_WWN</t>
  </si>
  <si>
    <t>N-Port ID(s)</t>
  </si>
  <si>
    <t>AG_Switch_Number_of_Ports</t>
  </si>
  <si>
    <t>IP Address(es)</t>
  </si>
  <si>
    <t>AG_Switch_IP_Address</t>
  </si>
  <si>
    <t>AG_Switch_Firmware_Version</t>
  </si>
  <si>
    <t>N-Ports</t>
  </si>
  <si>
    <t>AG_Switch_N-Ports</t>
  </si>
  <si>
    <t>F-Ports</t>
  </si>
  <si>
    <t>AG_Switch_F-Ports</t>
  </si>
  <si>
    <t>Connected_PortID</t>
  </si>
  <si>
    <t>Connected_Switch_DomainID</t>
  </si>
  <si>
    <t>Connected_Port_Index</t>
  </si>
  <si>
    <t>ag_attached</t>
  </si>
  <si>
    <t>^ *(0x[\w]{4}[\w]{2}) *([a-f0-9:]{23}) *(\d+) *$</t>
  </si>
  <si>
    <t xml:space="preserve"> 0x310401   50:01:43:80:24:d1:3f:6a     138</t>
  </si>
  <si>
    <t>Attached_F-ports_PortIDs</t>
  </si>
  <si>
    <t>Attached_F-ports_WWNs</t>
  </si>
  <si>
    <t>Connected_Switch_F-ports_port_index</t>
  </si>
  <si>
    <t>AG_F-ports_nums</t>
  </si>
  <si>
    <t>ag_fport</t>
  </si>
  <si>
    <t>^ *(\d+) *(0x[\w]{4}[\w]{2}) *([a-f0-9:]{23}) *$</t>
  </si>
  <si>
    <t>2    0x310401 20:02:50:eb:1a:40:5b:0f</t>
  </si>
  <si>
    <t>AG_F-ports_PortIDs</t>
  </si>
  <si>
    <t>AG_F-ports_WWNs</t>
  </si>
  <si>
    <t>ag_switchcmd_end</t>
  </si>
  <si>
    <t>^AG +#(\d+):$|^(real [\w.]+)$|(\*\* SS CMD END \*\*)$</t>
  </si>
  <si>
    <t>cfg_columns</t>
  </si>
  <si>
    <t>zone_columns</t>
  </si>
  <si>
    <t>alias_columns</t>
  </si>
  <si>
    <t>cfg_effective_columns</t>
  </si>
  <si>
    <t>zone_effective_columns</t>
  </si>
  <si>
    <t>peerzone_columns</t>
  </si>
  <si>
    <t>peerzone_effective_columns</t>
  </si>
  <si>
    <t>switchcmd_cfgshow</t>
  </si>
  <si>
    <t>SWITCHCMD /fabos/cliexec/cfgshow :</t>
  </si>
  <si>
    <t>^(SWITCHCMD /fabos/cliexec/)?cfgshow *(--verbose)? ?:$</t>
  </si>
  <si>
    <t>cfg</t>
  </si>
  <si>
    <t>^ *cfg: *([\w$-^]+) *([\w$-^ ;]+)?$</t>
  </si>
  <si>
    <t>cfg: cfg2 dl380s_zone4; dl380s_zone6;</t>
  </si>
  <si>
    <t>effective_config</t>
  </si>
  <si>
    <t>zones</t>
  </si>
  <si>
    <t>[\w$-^]+</t>
  </si>
  <si>
    <t>dl580d_msl6480b_zone1; dl580d_msl6480b_zone3;</t>
  </si>
  <si>
    <t>defined_configs</t>
  </si>
  <si>
    <t>zoning_switchcmd_end</t>
  </si>
  <si>
    <t>cfg:, zone:, alias:, real</t>
  </si>
  <si>
    <t>^ *(cfg:|zone:|alias:|real [\w.]+|\*\* *SS CMD END *\*\*|Effective +configuration *:|\d+ Peer +Zones +in +Eff +Cfg)</t>
  </si>
  <si>
    <t>zone: LSAN_1_msksrv_smrarray</t>
  </si>
  <si>
    <t>^ *zone: *([\w$-^]+) *([\w$-^ ;]+)?$</t>
  </si>
  <si>
    <t xml:space="preserve"> zone: bl460fd_p8400_02_zone2 </t>
  </si>
  <si>
    <t>^ *zone: *([\w$^-]+) *$</t>
  </si>
  <si>
    <t xml:space="preserve"> zone: zone1 kb6_3par_p7400c_06; kb6_rhev_bay14; kb6_rhev_bay15;</t>
  </si>
  <si>
    <t>bl460fs; 3p7440c-02_012; 3p7440c-02_112</t>
  </si>
  <si>
    <t>peerzone_member_type</t>
  </si>
  <si>
    <t>analysis_zoning</t>
  </si>
  <si>
    <t>zone:, alias:, real</t>
  </si>
  <si>
    <t>alias</t>
  </si>
  <si>
    <t>^ *alias: *([\w$-^]+) *([\w$-^ ;]+)?$</t>
  </si>
  <si>
    <t xml:space="preserve">alias: 3par11_024 </t>
  </si>
  <si>
    <t>alias_member</t>
  </si>
  <si>
    <t>21:24:00:02:ac:01:e9:e7; 21:24:02:02:ac:01:e9:e7</t>
  </si>
  <si>
    <t>alias:, real</t>
  </si>
  <si>
    <t>effective</t>
  </si>
  <si>
    <t>^ *Effective +configuration *: *$</t>
  </si>
  <si>
    <t>Effective configuration:</t>
  </si>
  <si>
    <t>switchcmd_peerzone</t>
  </si>
  <si>
    <t>/fabos/cliexec/zoneshow --peerzone all:</t>
  </si>
  <si>
    <t>^(SWITCHCMD /fabos/cliexec/)?zoneshow --peerzone all *:$</t>
  </si>
  <si>
    <t>SWITCHCMD /fabos/cliexec/zoneshow --peerzone all :</t>
  </si>
  <si>
    <t>property_member</t>
  </si>
  <si>
    <t>peerzone_property</t>
  </si>
  <si>
    <t>^ +([PC][a-z]+) +(?:Member|by): +([\w$-^]+)$</t>
  </si>
  <si>
    <t>Property Member: 00:02:00:00:00:03:01:02</t>
  </si>
  <si>
    <t>created_by</t>
  </si>
  <si>
    <t>Created by: User</t>
  </si>
  <si>
    <t>member_type</t>
  </si>
  <si>
    <t>^ +(Principal|Peer) +Member\(s\):$</t>
  </si>
  <si>
    <t>Principal Member(s):</t>
  </si>
  <si>
    <t>Peer Member(s):</t>
  </si>
  <si>
    <t>peerzone_member_end</t>
  </si>
  <si>
    <t>zone, real,  principal_member, peer_member</t>
  </si>
  <si>
    <t>^ *(zone:|real [\w.]+|\*\* *SS CMD END *\*\*|Effective +configuration *|(Peer|Principal) +Member\(s\):|\d+ Peer +Zones +in +Eff +Cfg)</t>
  </si>
  <si>
    <t>zone: PZ-EMC-VNX</t>
  </si>
  <si>
    <t>Peer Member(s)</t>
  </si>
  <si>
    <t>4 Peer Zones in Eff Cfg</t>
  </si>
  <si>
    <t>real 0m0.327s</t>
  </si>
  <si>
    <t>analysis_isl_aggregation</t>
  </si>
  <si>
    <t>isl_aggregated</t>
  </si>
  <si>
    <t>transceiver_speed_values</t>
  </si>
  <si>
    <t>^([\d,]+)_(?:Gbps|MB)</t>
  </si>
  <si>
    <t>2,4,8_Gbps SM lw Long_dist</t>
  </si>
  <si>
    <t>2,4,8</t>
  </si>
  <si>
    <t>analysis_isl_statistics</t>
  </si>
  <si>
    <t>isl_aggregated_modified</t>
  </si>
  <si>
    <t>transceiver_speed</t>
  </si>
  <si>
    <t>((?:\d+,){2}\d+_\w+)</t>
  </si>
  <si>
    <t>4,8,16_Gbps M5 sw Short_dist</t>
  </si>
  <si>
    <t>4,8,16_Gbps</t>
  </si>
  <si>
    <t>2,4,8_Gbps</t>
  </si>
  <si>
    <t>transceiver_mode</t>
  </si>
  <si>
    <t>(?:\d+,){2}\d+_\w+.*?(\w+w)</t>
  </si>
  <si>
    <t>finds low speed column names</t>
  </si>
  <si>
    <t>analysis_isl_statistics_notes</t>
  </si>
  <si>
    <t>isl_statistics_df</t>
  </si>
  <si>
    <t>low_speed</t>
  </si>
  <si>
    <t>^(?:Native_|AG_)?N?[124]G?$</t>
  </si>
  <si>
    <t>N4</t>
  </si>
  <si>
    <t>analysis_portshow_npiv_stat_notes</t>
  </si>
  <si>
    <t>npiv_statistics_df</t>
  </si>
  <si>
    <t>2G</t>
  </si>
  <si>
    <t>Native_N4</t>
  </si>
  <si>
    <t>AG_2G</t>
  </si>
  <si>
    <t>find auto speed columns</t>
  </si>
  <si>
    <t>auto_speed</t>
  </si>
  <si>
    <t>^(?:Native_|AG_)?Speed_Auto$</t>
  </si>
  <si>
    <t>Native_Speed_Auto</t>
  </si>
  <si>
    <t>AG_Speed_Auto</t>
  </si>
  <si>
    <t>Speed_Auto</t>
  </si>
  <si>
    <t>analysis_portshow_npiv</t>
  </si>
  <si>
    <t>portshow_npiv_df</t>
  </si>
  <si>
    <t>port_settings</t>
  </si>
  <si>
    <t>^(?:Connected_)?(.+?)(?:_Port)</t>
  </si>
  <si>
    <t>Connecetd_QOS_Port</t>
  </si>
  <si>
    <t>analysis_portshow_maps_ports</t>
  </si>
  <si>
    <t>maps_ports_df</t>
  </si>
  <si>
    <t>(?:(\d+)/)?(\d+)</t>
  </si>
  <si>
    <t>12/29</t>
  </si>
  <si>
    <t>12 29</t>
  </si>
  <si>
    <t>top_zoned_ports_df</t>
  </si>
  <si>
    <t>pid_flow</t>
  </si>
  <si>
    <t>0x([0-9a-f]{6})\((\d+)\)</t>
  </si>
  <si>
    <t>0x31b540(136)</t>
  </si>
  <si>
    <t>31b540 136</t>
  </si>
  <si>
    <t>find uninformative symbols in maps</t>
  </si>
  <si>
    <t>analysis_switch_params</t>
  </si>
  <si>
    <t>switch_params_aggregated_df</t>
  </si>
  <si>
    <t>maps_clean</t>
  </si>
  <si>
    <t>None|N/A|(No FV lic)|^ +$</t>
  </si>
  <si>
    <t>zoning_statistics_modify</t>
  </si>
  <si>
    <t>not used yet</t>
  </si>
  <si>
    <t>lsan_qos_tag_remover</t>
  </si>
  <si>
    <t>(?:lsan|qos[hml]\d?)_(.+)</t>
  </si>
  <si>
    <t>lsan_BKP_msk_kb7_msl6480</t>
  </si>
  <si>
    <t>BKP_msk_kb7_msl6480</t>
  </si>
  <si>
    <t>qosh3_HighPriorityTraffic</t>
  </si>
  <si>
    <t>HighPriorityTraffic</t>
  </si>
  <si>
    <t>qosh_HighPriorityTraffic</t>
  </si>
  <si>
    <t>analysis_switch_connection_statistics</t>
  </si>
  <si>
    <t>fos</t>
  </si>
  <si>
    <t>v?(\d+\.\d+\.\d+[a-z]?\d?)</t>
  </si>
  <si>
    <t>v8.2.2d</t>
  </si>
  <si>
    <t>8.2.2d</t>
  </si>
  <si>
    <t>v8.2.0_gft</t>
  </si>
  <si>
    <t>8.2.0</t>
  </si>
  <si>
    <t>v8.2.2a1</t>
  </si>
  <si>
    <t>8.2.2a1</t>
  </si>
  <si>
    <t>v8.2.2</t>
  </si>
  <si>
    <t>8.2.2</t>
  </si>
  <si>
    <t>enclosure_params</t>
  </si>
  <si>
    <t>enclosure_params_add</t>
  </si>
  <si>
    <t>enclosure_columns</t>
  </si>
  <si>
    <t>module_params</t>
  </si>
  <si>
    <t>blade_params</t>
  </si>
  <si>
    <t>blade_columns</t>
  </si>
  <si>
    <t>blade_vc_columns</t>
  </si>
  <si>
    <t>&gt;SHOW ENCLOSURE INFO</t>
  </si>
  <si>
    <t>Enclosure Type</t>
  </si>
  <si>
    <t>name_value_pair</t>
  </si>
  <si>
    <t>Enclosure Information:</t>
  </si>
  <si>
    <t>^\s*([\w -]+) *: *([\w\+\(\) .:/-]+) *$</t>
  </si>
  <si>
    <t>Enclosure Name: AHXK_1401_R4_C7000_C3</t>
  </si>
  <si>
    <t>Enclosure_Type</t>
  </si>
  <si>
    <t>Enclosure Name</t>
  </si>
  <si>
    <t>Enclosure_Name</t>
  </si>
  <si>
    <t>Serial Number: CZ3342RM27</t>
  </si>
  <si>
    <t>Enclosure_SN</t>
  </si>
  <si>
    <t>&gt;SHOW TOPOLOGY</t>
  </si>
  <si>
    <t>IP Addres</t>
  </si>
  <si>
    <t>oa_ip</t>
  </si>
  <si>
    <t>^[\w-]+ +\w+ +\w+ +([\d.]+) +[\w]+ *$</t>
  </si>
  <si>
    <t>R_15S_HP7000  OK Yes 10.185.22.8 09CZ30474ELN</t>
  </si>
  <si>
    <t>Active_OA_IP</t>
  </si>
  <si>
    <t>&gt;SHOW TOPOLOGY IPV6</t>
  </si>
  <si>
    <t>&gt;SHOW INTERCONNECT INFO ALL</t>
  </si>
  <si>
    <t>Interconnect module number</t>
  </si>
  <si>
    <t>module_type_num</t>
  </si>
  <si>
    <t>3. Fibre Channel</t>
  </si>
  <si>
    <t>^(\d). *([\w ]+)$</t>
  </si>
  <si>
    <t>Interconnect_Bay</t>
  </si>
  <si>
    <t>Interconnect module type</t>
  </si>
  <si>
    <t>Interconnect_Type</t>
  </si>
  <si>
    <t>User Assigned Name</t>
  </si>
  <si>
    <t>Interconnect_Name</t>
  </si>
  <si>
    <t>Product Name</t>
  </si>
  <si>
    <t>Interconnect_Model</t>
  </si>
  <si>
    <t>Interconnect_SN</t>
  </si>
  <si>
    <t>In-Band IPv4 Address</t>
  </si>
  <si>
    <t>Interconnect_IP</t>
  </si>
  <si>
    <t>Interconnect_Manufacturer</t>
  </si>
  <si>
    <t>Part Number</t>
  </si>
  <si>
    <t>Interconnect_PartNumber</t>
  </si>
  <si>
    <t>Interconnect_Firmware</t>
  </si>
  <si>
    <t>module_section_end</t>
  </si>
  <si>
    <t>^(\d). *([\w ]+)$|^&gt;SHOW</t>
  </si>
  <si>
    <t>3. Fibre Channel | &gt;SHOW INTERCONNECT LIST</t>
  </si>
  <si>
    <t>&gt;SHOW SERVER INFO ALL</t>
  </si>
  <si>
    <t>Blade server slot</t>
  </si>
  <si>
    <t>blade_server_num</t>
  </si>
  <si>
    <t>^Server\s+(Blade)\s+#(\d+) Information:$</t>
  </si>
  <si>
    <t>Server Blade #1 Information:</t>
  </si>
  <si>
    <t>Blade</t>
  </si>
  <si>
    <t>Server_Slot</t>
  </si>
  <si>
    <t>Server Blade Type</t>
  </si>
  <si>
    <t>blade_server_info</t>
  </si>
  <si>
    <t>^\s*([\w ]+):(\d-\w)? +([\w\(\) .:/-]+)$</t>
  </si>
  <si>
    <t>Product Name: Integrity BL870c i4</t>
  </si>
  <si>
    <t>Server_BladeType</t>
  </si>
  <si>
    <t>Device_Manufacturer</t>
  </si>
  <si>
    <t>Device_Model</t>
  </si>
  <si>
    <t>Server_PartNumber</t>
  </si>
  <si>
    <t>Device_SN</t>
  </si>
  <si>
    <t>Server Name</t>
  </si>
  <si>
    <t>IP Address</t>
  </si>
  <si>
    <t>IP_Address</t>
  </si>
  <si>
    <t>HBA Model</t>
  </si>
  <si>
    <t>mezzanine_description</t>
  </si>
  <si>
    <t>^\s*Mezzanine \d+: *((?:HPE?)? *(?:QLogic|Emulex)? ([\w-]+) \d{1,2}Gb FC HBA for [\w -]+)$</t>
  </si>
  <si>
    <t>Mezzanine 1: QLogic QMH2562 8Gb FC HBA for HP BladeSystem c-Class</t>
  </si>
  <si>
    <t>Mezzanine 1: HP QMH2672 16Gb FC HBA for BladeSystem c-Class</t>
  </si>
  <si>
    <t>Mezzanine 1: Emulex LPe1205-HP 8Gb FC HBA for HP BladeSystem c-Class</t>
  </si>
  <si>
    <t>HBA WWNp</t>
  </si>
  <si>
    <t>mezzanine_wwn</t>
  </si>
  <si>
    <t>^\s+Port \d+: *([a-f0-9:]{23})$</t>
  </si>
  <si>
    <t>Port 1: 50:01:43:80:21:de:8c:94</t>
  </si>
  <si>
    <t>Flex Model</t>
  </si>
  <si>
    <t>flb_description</t>
  </si>
  <si>
    <t>^\s*FLB +Adapter +\d+: *([\w -]+)$</t>
  </si>
  <si>
    <t>FLB Adapter 1: HP FlexFabric 10Gb 2-port 554FLB Adapter</t>
  </si>
  <si>
    <t>wwn_mac_line</t>
  </si>
  <si>
    <t>[\w\d:]{17,23}</t>
  </si>
  <si>
    <t>Ethernet FlexNIC (NIC 5) LOM1:1-c    00:17:A4:77:01:88</t>
  </si>
  <si>
    <t>Flex WWNp</t>
  </si>
  <si>
    <t>flb_wwn</t>
  </si>
  <si>
    <t>^\s+FCoE (?:Flex)?HBA LOM\d?:\d-\w\s+([\w\d:]{23})$</t>
  </si>
  <si>
    <t>FCoE FlexHBA LOM1:1-b 50:06:0B:00:00:C2:62:74</t>
  </si>
  <si>
    <t>FCoE FlexHBA LOM:1-b 50:06:0B:00:00:C2:62:00</t>
  </si>
  <si>
    <t>FCoE HBA LOM1:1-b                   20:00:F0:92:1C:01:31:59</t>
  </si>
  <si>
    <t>server_section_end</t>
  </si>
  <si>
    <t>^Server Blade #(\d+) Information:$|^&gt;SHOW</t>
  </si>
  <si>
    <t>Server Blade #1 Information: | &gt;SHOW SERVER PORT MAP ALL</t>
  </si>
  <si>
    <t>mezzanine_model</t>
  </si>
  <si>
    <t>(?:HPE?)? *(?:QLogic|Emulex)? ([\w-]+) \d{1,2}Gb FC HBA for [\w -]+</t>
  </si>
  <si>
    <t>flb_model</t>
  </si>
  <si>
    <t>HP FlexFabric \d{1,3}Gb [\d\w-]* *([\d\w]+) Adapter</t>
  </si>
  <si>
    <t>FLB Adapter 1: HP FlexFabric 10Gb 2-Port 534FLB Adapter</t>
  </si>
  <si>
    <t>&gt;SHOW SERVER PORT MAP ALL</t>
  </si>
  <si>
    <t>Bay</t>
  </si>
  <si>
    <t>vc_port</t>
  </si>
  <si>
    <t>FABRIC INFORMATION</t>
  </si>
  <si>
    <t>^ *(\w+):(\d+):(\w+) +[\w]+ +([\w]+) +((?:[0-9a-fA-F]{2}:){7}[0-9a-fA-F]{2}) +((?:[0-9a-fA-F]{2}:){7}[0-9a-fA-F]{2}) *$</t>
  </si>
  <si>
    <t>enc0:4:4  OK      4Gb    20:13:74:46:A0:71:2D:BE  10:00:00:05:33:20:BD:00</t>
  </si>
  <si>
    <t>Enclosure__ID</t>
  </si>
  <si>
    <t>^ *\w+:(\d+):(\w+) +[\w]+ +([\w]+) +((?:[0-9a-fA-F]{2}:){7}[0-9a-fA-F]{2}) +((?:[0-9a-fA-F]{2}:){7}[0-9a-fA-F]{2}) *$</t>
  </si>
  <si>
    <t>Port</t>
  </si>
  <si>
    <t>FC-CONNECTION INFORMATION</t>
  </si>
  <si>
    <t>enc0:1:X1  OK      8Gb    20:00:00:11:0a:02:24:ed  10:00:00:05:33:8a:96:c7</t>
  </si>
  <si>
    <t>Connected_To</t>
  </si>
  <si>
    <t>flex_ethernet</t>
  </si>
  <si>
    <t>^ +(FlexFabric +Embedded +Ethernet) *$</t>
  </si>
  <si>
    <t>FlexFabric Embedded Ethernet</t>
  </si>
  <si>
    <t>vc_information_header</t>
  </si>
  <si>
    <t>^ +.+?INFORMATION</t>
  </si>
  <si>
    <t xml:space="preserve"> ENCLOSURE INFORMATION</t>
  </si>
  <si>
    <t xml:space="preserve"> DEVICEBAY INFORMATION</t>
  </si>
  <si>
    <t>vc_enclosure_id</t>
  </si>
  <si>
    <t>ID +: +enc\d+</t>
  </si>
  <si>
    <t>Server ID      : enc0:3</t>
  </si>
  <si>
    <t>Enclosure ID   : enc0</t>
  </si>
  <si>
    <t>part_number_line</t>
  </si>
  <si>
    <t>Part +Number</t>
  </si>
  <si>
    <t>Part Number    : AM377A</t>
  </si>
  <si>
    <r>
      <rPr>
        <b/>
        <sz val="11"/>
        <color rgb="FF000000"/>
        <rFont val="Calibri"/>
        <family val="2"/>
        <charset val="1"/>
      </rPr>
      <t>Synergy meddler</t>
    </r>
    <r>
      <rPr>
        <sz val="11"/>
        <color rgb="FF000000"/>
        <rFont val="Calibri"/>
        <family val="2"/>
        <charset val="1"/>
      </rPr>
      <t xml:space="preserve"> parsing regex patterns</t>
    </r>
  </si>
  <si>
    <t>none_blank_line</t>
  </si>
  <si>
    <t>^None$|^none$|^ *$</t>
  </si>
  <si>
    <t>None</t>
  </si>
  <si>
    <t>none</t>
  </si>
  <si>
    <t>mezz_column</t>
  </si>
  <si>
    <t>^Mezz\d+(?!_MAC)\w*$</t>
  </si>
  <si>
    <t>Mezz1</t>
  </si>
  <si>
    <t>Mezz1_type</t>
  </si>
  <si>
    <t>Mezz1_WWPN</t>
  </si>
  <si>
    <t>mezz_number_column</t>
  </si>
  <si>
    <t>Mezz\d$</t>
  </si>
  <si>
    <t>mezz_number_remover</t>
  </si>
  <si>
    <t>^(Mezz)\d(.*)$</t>
  </si>
  <si>
    <t>mezz_wwpn_extractor</t>
  </si>
  <si>
    <t xml:space="preserve"> *P\d=((?:[0-9a-fA-F]{2}:){7}[0-9a-fA-F]{2}) +P\d=((?:[0-9a-fA-F]{2}:){7}[0-9a-fA-F]{2})</t>
  </si>
  <si>
    <t xml:space="preserve"> P1=51:40:2E:C0:01:C6:F1:50 P2=51:40:2E:C0:01:C6:F1:52</t>
  </si>
  <si>
    <t>mezz_number_extractor</t>
  </si>
  <si>
    <t>^ *(\w+) *(\d)</t>
  </si>
  <si>
    <t>Mezz 3:1-a</t>
  </si>
  <si>
    <t>Mezz 2:1</t>
  </si>
  <si>
    <t>mezz_slot_extractor</t>
  </si>
  <si>
    <t>.+(\d+)</t>
  </si>
  <si>
    <t>Mezzanine Slot 3</t>
  </si>
  <si>
    <t>system_params</t>
  </si>
  <si>
    <t>system_params_add</t>
  </si>
  <si>
    <t>system_columns</t>
  </si>
  <si>
    <t>port_columns</t>
  </si>
  <si>
    <t>host_columns</t>
  </si>
  <si>
    <t>nsshow, nscamshow DataFrames</t>
  </si>
  <si>
    <t>3par_model</t>
  </si>
  <si>
    <t>ns_3par</t>
  </si>
  <si>
    <t>(HPE?_3PAR(?: +InServ)? *\w{4,}) *- *([\w]+)</t>
  </si>
  <si>
    <t>column NodeSymb</t>
  </si>
  <si>
    <t>3par_sn</t>
  </si>
  <si>
    <t>verify if file is 3par config</t>
  </si>
  <si>
    <t>configname_3par</t>
  </si>
  <si>
    <t>(?:array_[A-Z\d]+_)?(?:config[._])?\d{6}[._]\d{6}(?:[._]\d{4})?</t>
  </si>
  <si>
    <t>array_CZ3806JN2T_config.210318.090013.0001</t>
  </si>
  <si>
    <t>config[._]\d{6}[._]\d{6}[._]\d{4}</t>
  </si>
  <si>
    <t>(?:config[._])?\d{6}[._]\d{6}(?:[._]\d{4})?</t>
  </si>
  <si>
    <t>array_1650950_config.210528.091015.0001</t>
  </si>
  <si>
    <t>210408.053411.0001</t>
  </si>
  <si>
    <t>config.210318.090013.0001</t>
  </si>
  <si>
    <t>config_210304_093400_0016</t>
  </si>
  <si>
    <t>showsys_header</t>
  </si>
  <si>
    <t>[ -]+showsys +-d[ -]+</t>
  </si>
  <si>
    <t>"----- showsys -d -----"</t>
  </si>
  <si>
    <t>System Name</t>
  </si>
  <si>
    <t>parameter_value_pair</t>
  </si>
  <si>
    <t>(.+?) +: +(.+)</t>
  </si>
  <si>
    <t>System Name        :           kx341</t>
  </si>
  <si>
    <t>System Model</t>
  </si>
  <si>
    <t>System Model       :   HPE_3PAR 8200</t>
  </si>
  <si>
    <t>Serial Number      :      CZ3722470M</t>
  </si>
  <si>
    <t>System_Name</t>
  </si>
  <si>
    <t>System ID</t>
  </si>
  <si>
    <t>Location    : Krasnoarmeysraya, Moscow, Moscow, 125993, RU</t>
  </si>
  <si>
    <t>System_Model</t>
  </si>
  <si>
    <t>Number of Nodes</t>
  </si>
  <si>
    <t>Serial_Number</t>
  </si>
  <si>
    <t>Master Node</t>
  </si>
  <si>
    <t>System_ID</t>
  </si>
  <si>
    <t>Nodes Online</t>
  </si>
  <si>
    <t>Number_of_Nodes</t>
  </si>
  <si>
    <t>Nodes in Cluster</t>
  </si>
  <si>
    <t>Master_Node</t>
  </si>
  <si>
    <t>Cluster LED</t>
  </si>
  <si>
    <t>Nodes_Online</t>
  </si>
  <si>
    <t>Chunklet Size</t>
  </si>
  <si>
    <t>Nodes_in_Cluster</t>
  </si>
  <si>
    <t>Minimum PW</t>
  </si>
  <si>
    <t>Cluster_LED</t>
  </si>
  <si>
    <t>Total Capacity</t>
  </si>
  <si>
    <t>Chunklet_Size</t>
  </si>
  <si>
    <t>Allocated Capacity</t>
  </si>
  <si>
    <t>Minimum_PW</t>
  </si>
  <si>
    <t>Free Capacity</t>
  </si>
  <si>
    <t>Total_Capacity_MB</t>
  </si>
  <si>
    <t>Failed Capacity</t>
  </si>
  <si>
    <t>Allocated_Capacity_MB</t>
  </si>
  <si>
    <t>General Server</t>
  </si>
  <si>
    <t>Free_Capacity_MB</t>
  </si>
  <si>
    <t>Security Server</t>
  </si>
  <si>
    <t>Failed_Capacity_MB</t>
  </si>
  <si>
    <t>Location</t>
  </si>
  <si>
    <t>Syslog_General_Server</t>
  </si>
  <si>
    <t>Owner</t>
  </si>
  <si>
    <t>Syslog_Security_Server</t>
  </si>
  <si>
    <t>Contact</t>
  </si>
  <si>
    <t>Comment</t>
  </si>
  <si>
    <t>ip_address</t>
  </si>
  <si>
    <t>IP Address: (\d{1,3}.\d{1,3}.\d{1,3}.\d{1,3}) +Netmask.+</t>
  </si>
  <si>
    <t xml:space="preserve">IP Address: 172.17.203.101   Netmask 255.255.255.192 </t>
  </si>
  <si>
    <t>showport_header</t>
  </si>
  <si>
    <t>^\W+showport\W+$</t>
  </si>
  <si>
    <t>"----- showport -----"</t>
  </si>
  <si>
    <t>N_S_P</t>
  </si>
  <si>
    <t>port_line</t>
  </si>
  <si>
    <t>(\d+:\d+:\d+) +(\w+) +(\w+) +([0-9A-F]{16}) +([0-9A-F]{16}) +(\w+) +(\w+) +([\w\-]+) +([\d:\-]+) +([\w\-]+)</t>
  </si>
  <si>
    <t>0:0:1    target   ready 2FF70002AC01E0E9   20010002AC01E0E9 host       FC     -   1:0:1          none</t>
  </si>
  <si>
    <t>Mode</t>
  </si>
  <si>
    <t>0:1:1 initiator   ready 50002ACFF701E0E9   50002AC01101E0E9 disk      SAS  DP-1       -             -</t>
  </si>
  <si>
    <t>Storage_Port</t>
  </si>
  <si>
    <t>1:0:1    target   ready 2FF70002AC01E0E9   21010002AC01E0E9 host       FC     -   0:0:1          none</t>
  </si>
  <si>
    <t>Storage_Port_Mode</t>
  </si>
  <si>
    <t>Storage_Port_State</t>
  </si>
  <si>
    <t>Protocol</t>
  </si>
  <si>
    <t>Storage_Port_Type</t>
  </si>
  <si>
    <t>Label</t>
  </si>
  <si>
    <t>Partner</t>
  </si>
  <si>
    <t>FailoverState</t>
  </si>
  <si>
    <t>Storage_Port_Partner</t>
  </si>
  <si>
    <t>showhost_header</t>
  </si>
  <si>
    <t>[ -]+showhost +-d[ -]+</t>
  </si>
  <si>
    <t>"----- showhost -d -----"</t>
  </si>
  <si>
    <t>Host_Id</t>
  </si>
  <si>
    <t>host_line</t>
  </si>
  <si>
    <t>^ *(\d+) +([\w\-]+) +(.+?) +(.+?) +([0-9A-F]{16}) +([\w:\-]+) +(.+?) *$</t>
  </si>
  <si>
    <t xml:space="preserve"> 39 2FF70002AC01A1D0 set:.sys_federation_domain_set Generic-ALUA  21240202AC41A1D0 1:2:1 n/a    </t>
  </si>
  <si>
    <t>^ *(\d+) +(.+?) +(.+?) +(.+?) +([0-9A-F]{16}) +([\w:\-]+) +(.+?) +$</t>
  </si>
  <si>
    <t xml:space="preserve"> 23 UKM-SAPP02          -      WindowsServer 2101001B322F184F ---   n/a    </t>
  </si>
  <si>
    <t xml:space="preserve"> 24 UKM-SAPP03          -      WindowsServer 500143800635A802 1:2:1 n/a    </t>
  </si>
  <si>
    <t>Persona</t>
  </si>
  <si>
    <t>Host_portWwn</t>
  </si>
  <si>
    <t>Host_Wwn</t>
  </si>
  <si>
    <t>Host_IP_addr</t>
  </si>
  <si>
    <t>\d+ +total|no +hosts +listed|^ +\d+ *$</t>
  </si>
  <si>
    <t>\d+ +total|no +hosts +listed</t>
  </si>
  <si>
    <t>section_end</t>
  </si>
  <si>
    <t>^&lt;A href=.+</t>
  </si>
  <si>
    <t>&lt;A href="#top"&gt;top&lt;/A&gt;&lt;A name=showport&gt;&lt;/A&gt;</t>
  </si>
  <si>
    <t>serial_number</t>
  </si>
  <si>
    <t>Serial Number +: +(.+)</t>
  </si>
  <si>
    <t>system_model</t>
  </si>
  <si>
    <t>System Model +: +(.+)</t>
  </si>
  <si>
    <t>Condition</t>
  </si>
  <si>
    <t>Dashboard_category</t>
  </si>
  <si>
    <t>Recommended_action</t>
  </si>
  <si>
    <t>MAPS-1003</t>
  </si>
  <si>
    <t>WARNING</t>
  </si>
  <si>
    <t>NON_E_F_PORTS(ITW/min&gt;41)</t>
  </si>
  <si>
    <t>Проверить кабель, SFP</t>
  </si>
  <si>
    <t>C3-1014</t>
  </si>
  <si>
    <t xml:space="preserve">Link Reset </t>
  </si>
  <si>
    <t>Indicates that one or more credits were lost and the link is reset. When this error is observed persistently on backend link, power cycle the specified blade using the slotPowerOff and slotPowerOn commands. If the problem persists, replace the blade. When this error is observed persistently on user port, check the physical layer errors on this port and peer port using portStatsShow command. If there are some physical layer errors then change the small form-factor pluggable (SFP) transceiver or the cable on port and peer port to which this port is connected.</t>
  </si>
  <si>
    <t xml:space="preserve">Проверить динамику ошибок физического уровня на порту коммутатора, а также на подключенном порту. Заменить кабель, SFP. </t>
  </si>
  <si>
    <t>TS-1001</t>
  </si>
  <si>
    <t>NTP Query failed: 256</t>
  </si>
  <si>
    <t>Проверить доступность NTP сервера.</t>
  </si>
  <si>
    <t>MAPS-1021</t>
  </si>
  <si>
    <t>CHASSIS(FLASH_USAGE&gt;=90)</t>
  </si>
  <si>
    <t xml:space="preserve"> Рекомендуется освободить место удалив старые core и ffdc файлы. Это можно сделать командами supportsave -r и cleanup (доступна под пользователем root).</t>
  </si>
  <si>
    <t>NTP Query failed: 1</t>
  </si>
  <si>
    <t>C3-1023</t>
  </si>
  <si>
    <t xml:space="preserve">Single RDY/Frame Loss detected and recovered </t>
  </si>
  <si>
    <t>Выполнить power cycle лезвия, коммутатора. В случае дальнейшего появления сообщений заменить лезвие, коммутатор.</t>
  </si>
  <si>
    <t>ALL_HOST_PORTS(ITW/min&gt;41)</t>
  </si>
  <si>
    <t>SWITCH(EPORT_DOWN/min&gt;1)</t>
  </si>
  <si>
    <t>ALL_TARGET_PORTS(ITW/min&gt;21)</t>
  </si>
  <si>
    <t>ALL_TARGET_PORTS(CRC/min&gt;11)</t>
  </si>
  <si>
    <t>Проверить SFP, кабель, подключенное устройство, HBA сервера и патч панель, если она используется для его подключения</t>
  </si>
  <si>
    <t>ALL_TARGET_PORTS(LR/min&gt;6)</t>
  </si>
  <si>
    <t>ALL_PORTS(SFP_STATE==IN)</t>
  </si>
  <si>
    <t>The state of the SFP transceiver has changed</t>
  </si>
  <si>
    <t>ALL_PORTS(SFP_STATE==OUT)</t>
  </si>
  <si>
    <t>ALL_PORTS(LF/min&gt;5)</t>
  </si>
  <si>
    <t>The number of times a link failure (LF) occurs on offline ports or sends or receives the Not Operational Primitive Sequence (NOPS). Both physical and hardware problems can cause link failures. Link failures also frequently occur due to a loss of synchronization or a loss of signal.</t>
  </si>
  <si>
    <t>MAPS-1001</t>
  </si>
  <si>
    <t>CRITICAL</t>
  </si>
  <si>
    <t>ALL_HOST_PORTS(C3TXTO/min&gt;11)</t>
  </si>
  <si>
    <t>The number of Class 3 discard frames due to timeouts.</t>
  </si>
  <si>
    <t>Проверить наличие "медленных" устройств (закладка manage_slow_drain), проверить кабель, SFP</t>
  </si>
  <si>
    <t>ALL_OTHER_F_PORTS(ITW/min&gt;41)</t>
  </si>
  <si>
    <t>ALL_E_PORTS(ITW/min&gt;41)</t>
  </si>
  <si>
    <t>C4-1040</t>
  </si>
  <si>
    <t xml:space="preserve">Multi RDY/Frame Loss detected </t>
  </si>
  <si>
    <t>Indicates that multiple credits and frames were lost on the specified port, and the link is reset.</t>
  </si>
  <si>
    <t>AN-1004</t>
  </si>
  <si>
    <t>Congestion bottleneck</t>
  </si>
  <si>
    <t>Indicates that the volume of outgoing traffic at the specified port is too high for the capacity of the link.</t>
  </si>
  <si>
    <t>Add more capacity on the path, using trunk links if possible.</t>
  </si>
  <si>
    <t>MAPS-1024</t>
  </si>
  <si>
    <t>Requires manual intervention to set the slow drain condition right or the limit has to be reconfigured.</t>
  </si>
  <si>
    <t>ALL_PORTS(DEV_LATENCY_IMPACT==IO_FRAME_LOSS)</t>
  </si>
  <si>
    <t>ALL_PORTS(DEV_LATENCY_IMPACT==IO_PERF_IMPACT)</t>
  </si>
  <si>
    <t>Describes the severe latency condition on port transmit queues. When a port does not quickly clear the frames sent through it, this can cause a backup in the fabric. When MAPS detects that the backpressure from such a condition is significant enough, the bottleneck state of that port is changed to IO_PERF_IMPACT.</t>
  </si>
  <si>
    <t>MAPS-1005</t>
  </si>
  <si>
    <t>ALL_OTHER_F_PORTS(TX/min&gt;95.00)</t>
  </si>
  <si>
    <t>NON_E_F_PORTS(RX/min&gt;95.00)</t>
  </si>
  <si>
    <t>ALL_LOCAL_PIDS(IT_FLOW&gt;32)</t>
  </si>
  <si>
    <t>Initiator to target flow ratio. When MAPS finds that a port has more than the expected number of devices zoned-in, then it alerts the administrator. Zone configuration can cause back pressure.</t>
  </si>
  <si>
    <t>Use the command "nszonemember -n" to display the information of zoned devices with the PID which is mentioned the alerts</t>
  </si>
  <si>
    <t>ALL_HOST_PORTS(TX/min&gt;95.00)</t>
  </si>
  <si>
    <t>ALL_TARGET_PORTS(RX/min&gt;95.00)</t>
  </si>
  <si>
    <t>ALL_TARGET_PORTS(TX/min&gt;95.00)</t>
  </si>
  <si>
    <t>ALL_F_PORTS(TX/min&gt;95.00)</t>
  </si>
  <si>
    <t>ALL_TARGET_PORTS(RX/hour&gt;90.00)</t>
  </si>
  <si>
    <t>ALL_HOST_PORTS(TX/hour&gt;90.00)</t>
  </si>
  <si>
    <t>ALL_OTHER_F_PORTS(TX/hour&gt;90.00)</t>
  </si>
  <si>
    <t>MAPS-1022</t>
  </si>
  <si>
    <t>No action is required.</t>
  </si>
  <si>
    <t>SWITCH(ZONE_CHG/day&gt;10)</t>
  </si>
  <si>
    <t>SWITCH(SEC_LV/min&gt;4)</t>
  </si>
  <si>
    <t>Login violations which occur when a secure fabric detects a login failure.</t>
  </si>
  <si>
    <t>SWITCH(SEC_TELNET/min&gt;4)</t>
  </si>
  <si>
    <t>ALL_HOST_PORTS(RX/min&gt;95.00)</t>
  </si>
  <si>
    <t>ALL_HOST_PORTS(RX/hour&gt;90.00)</t>
  </si>
  <si>
    <t>ALL_F_PORTS(DEV_LOGIN_DIST==BALANCED)</t>
  </si>
  <si>
    <t>Describes the port group state. BALANCED – All ports in the group have close to an equal number of devices that are connected to them.</t>
  </si>
  <si>
    <t>ALL_F_PORTS(DEV_LOGIN_DIST==IMBALANCED)</t>
  </si>
  <si>
    <t>Describes the port group state. IMBALANCED – At least one port in the group does not have any devices connected or has more than one device connected but less than the devices connected to the rest of the ports.</t>
  </si>
  <si>
    <t>SWITCH(FLOGI/min&gt;8)</t>
  </si>
  <si>
    <t>Activates when ports and devices initialize with the fabric (fabric logins).</t>
  </si>
  <si>
    <t>ALL_OTHER_F_PORTS(STATE_CHG/min&gt;11)</t>
  </si>
  <si>
    <t>Describes the state of the port has changed due to any of the following reasons: the port has gone offline, the port has come online, the port is faulty.</t>
  </si>
  <si>
    <t>NON_E_F_PORTS(STATE_CHG/min&gt;11)</t>
  </si>
  <si>
    <t>ALL_TARGET_PORTS(STATE_CHG/min&gt;8)</t>
  </si>
  <si>
    <t>C3-1001</t>
  </si>
  <si>
    <t>ERROR</t>
  </si>
  <si>
    <t>faulted due to invalid SFP, conflicting speed or laser fault. Check if the SFP or port speed is valid for the configuration</t>
  </si>
  <si>
    <t>Indicates a deteriorated small form-factor pluggable (SFP) transceiver, an incompatible SFP transceiver pair, or a faulty cable between the peer ports.</t>
  </si>
  <si>
    <t>Verify that compatible SFP transceivers are used on the peer ports, the SFP transceivers have not deteriorated, and the Fibre Channel cable is not faulty. Replace the SFP transceivers or the cable if necessary.</t>
  </si>
  <si>
    <t>ALL_PORTS(LOSS_SIGNAL/min&gt;5)</t>
  </si>
  <si>
    <t>The number of times that a signal loss occurs in offline ports. Signal loss indicates that no data is moving through the port. A loss of signal usually indicates a hardware problem.</t>
  </si>
  <si>
    <t>ALL_16GSWL_SFP(RXP&gt;=1259)</t>
  </si>
  <si>
    <t>The power of the incoming laser (receive power) in microwatts (μW). This is used to help determine if the SFP transceiver is in good working condition. If the counter often exceeds the threshold, the SFP transceiver is deteriorating.</t>
  </si>
  <si>
    <t>Проверить SFP</t>
  </si>
  <si>
    <t>ALL_16GSWL_SFP(TXP&lt;=251)</t>
  </si>
  <si>
    <t>The power of the outgoing laser (transmit power) in microwatts (μW). This is used to help determine if the SFP transceiver is in good working condition. If the counter often exceeds the threshold, the SFP transceiver is deteriorating.</t>
  </si>
  <si>
    <t>NON_E_F_PORTS(RX/hour&gt;90.00)</t>
  </si>
  <si>
    <t>ALL_E_PORTS(TX/min&gt;95.00)</t>
  </si>
  <si>
    <t>ALL_E_PORTS(TX/hour&gt;90.00)</t>
  </si>
  <si>
    <t>ALL_PORTS(LF/min&gt;3)</t>
  </si>
  <si>
    <t>ALL_HOST_PORTS(CRC/min&gt;21)</t>
  </si>
  <si>
    <t>SWITCH(SEC_TELNET/min&gt;2)</t>
  </si>
  <si>
    <t>The number of Telnet violations that occurred when a Telnet connection request reached a secure switch from an unauthorized IP address.</t>
  </si>
  <si>
    <t>SWITCH(SEC_LV/min&gt;2)</t>
  </si>
  <si>
    <t>The number of login violations (LV) that occurred when a secure fabric detected a login failure.</t>
  </si>
  <si>
    <t>ALL_16GSWL_SFP(VOLTAGE&lt;=3000)</t>
  </si>
  <si>
    <t>The voltage supplied to the SFP transceiver in millivolts (mV). If this value exceeds the threshold, the SFP transceiver is deteriorating.</t>
  </si>
  <si>
    <t>C4-1002</t>
  </si>
  <si>
    <t>Port &lt;port number&gt; chip failed due to an internal error.</t>
  </si>
  <si>
    <t>Indicates an internal error. All the ports on the blade or switch will be disrupted.</t>
  </si>
  <si>
    <t>To recover a bladed system, execute the slotPowerOff and slotPowerOn commands on the blade. To recover a non-bladed system, execute the fastBoot command on the switch.</t>
  </si>
  <si>
    <t>FSSM-1003</t>
  </si>
  <si>
    <t>HA State out of sync.</t>
  </si>
  <si>
    <t>Indicates that the high availability (HA) state of the active control processor (CP) is out of synchronization with the HA state of the standby CP. If the active CP failover occurs when the HA state is out of synchronization, the failover is disruptive.</t>
  </si>
  <si>
    <t>If this message was logged as a result of a user-initiated action (such as running the reboot command), no action
is required. Otherwise, execute the haSyncStart command on the active CP to resynchronize the HA state. If the HA state does not synchronize, execute the haDump command to diagnose the problem. If the problem persists, execute the supportFtp command (as needed) to set up automatic FTP transfers; then execute the supportSave command and contact your switch service provider.</t>
  </si>
  <si>
    <t>Link Reset on Port S&lt;slot number&gt;,P&lt;port number&gt;(&lt;blade port number&gt;) vc_no=&lt;vc number&gt; crd(s)lost=&lt;Credit(s) lost&gt; &lt;Source of link reset &gt; trigger.</t>
  </si>
  <si>
    <t>Indicates that one or more credits were lost and the link is reset.</t>
  </si>
  <si>
    <t>When this error is observed persistently on backend link, power cycle the specified blade using the slotPowerOff and slotPowerOn commands. If the problem persists, replace the blade. When this error is observed persistently on user port, check the physical layer errors on this port and peer port using portStatsShow command. If there are some physical layer errors then change the small form-factor pluggable (SFP) transceiver or the cable on port and peer port to which this port is connected.</t>
  </si>
  <si>
    <t>S&lt;slot number&gt;,P&lt;port number&gt;(Bp&lt;blade port number&gt;) user_idx:&lt;User port index&gt; [PID 0x&lt;24 bit FC address&gt;] faulted due to invalid SFP, conflicting speed or laser fault. &lt;error message&gt;</t>
  </si>
  <si>
    <t>AG-1089</t>
  </si>
  <si>
    <t>AG-1029</t>
  </si>
  <si>
    <t>Port Group (ID: &lt;pgid&gt;) has ports going to different fabrics.</t>
  </si>
  <si>
    <t>Indicates a misconfiguration.</t>
  </si>
  <si>
    <t>Connect all ports in the port group to the same fabric.</t>
  </si>
  <si>
    <t>AG-1005</t>
  </si>
  <si>
    <t>FDISC response was dropped because F_Port &lt;port number&gt; is offline.</t>
  </si>
  <si>
    <t>Indicates that the F_Port connected to the host is offline, which caused the Fabric Discovery (FDISC) response to drop.</t>
  </si>
  <si>
    <t>Check the configuration of the host connected to the specified F_Port.</t>
  </si>
  <si>
    <t>FABR-1001</t>
  </si>
  <si>
    <t>port &lt;port number&gt;, &lt;segmentation reason&gt;.</t>
  </si>
  <si>
    <t>Indicates that the specified switch port is isolated because of a segmentation resulting from mismatched configuration parameters.</t>
  </si>
  <si>
    <t>Based on the segmentation reason displayed with the message, look for a possible mismatch of relevant configuration parameters in the switches at both ends of the link. Run the configure command to modify the appropriate switch parameters on both the local and remote switch.</t>
  </si>
  <si>
    <t>NTP Query failed: &lt;error code&gt;.</t>
  </si>
  <si>
    <t>Indicates that a Network Time Protocol (NTP) query to the configured external clock server failed. Local clock time on the principal or primary fabric configuration server (FCS) switch is used for fabric synchronization. This message may be logged during temporary operational issues such as IP network connection issues to the external clock server. If the message does not recur, it can be ignored.</t>
  </si>
  <si>
    <t>Execute the tsClockServer command to verify that the configured external clock server is available and functional.
If that external clock server is not available, choose another clock server.</t>
  </si>
  <si>
    <t>Port &lt;slotport&gt; (Port index &lt;portindex&gt;) has been marked as Slow Drain Device.</t>
  </si>
  <si>
    <t>Indicates that the quarantine action for the port due to Severe Latency / Frame Loss has been initiated. Traffic destined to this port will be moved to low QoS Virtual Channel at source.</t>
  </si>
  <si>
    <t>MAPS-1023</t>
  </si>
  <si>
    <t>Port &lt;slotport&gt; marked as Slow Drain Device is not enforced due to zoned port limit exceeded.</t>
  </si>
  <si>
    <t>Indicates that the port flagged for Severe Latency / Frame Loss could not be quarantined due to the zoned port count more than 32.</t>
  </si>
  <si>
    <t>Requires manual intervention to set the slow drain condition right.</t>
  </si>
  <si>
    <t>Configured limit exceeded. Port &lt;slotport&gt; could not be marked as Slow Drain Device.</t>
  </si>
  <si>
    <t>Indicates that the port flagged for Severe Latency / Frame Loss could not be quarantined, since the configured limit was exceeded.</t>
  </si>
  <si>
    <t>MAPS-1025</t>
  </si>
  <si>
    <t>Port &lt;slotport&gt; (Port index &lt;portindex&gt;) removed from the Slow Drain Device Quarantine Group.</t>
  </si>
  <si>
    <t>Indicates that the port flagged for Severe Latency / Frame Loss earlier has been removed from the quarantine group.</t>
  </si>
  <si>
    <t>No Action is required</t>
  </si>
  <si>
    <t>ZONE-1010</t>
  </si>
  <si>
    <t>Duplicate entries in zone (&lt;zone name&gt;) specification.</t>
  </si>
  <si>
    <t>Indicates that there are duplicate entries in the specified zone object. This message occurs only when enabling a zone configuration.</t>
  </si>
  <si>
    <t>Check the members of the zone using the cfgShow command. Delete the duplicate member using the zoneRemove command.</t>
  </si>
  <si>
    <t>ZONE-1062</t>
  </si>
  <si>
    <t>Defined and Effective zone configurations are inconsistent.</t>
  </si>
  <si>
    <t>Indicates that the defined and effective configurations are different.</t>
  </si>
  <si>
    <t>Execute the cfgEnable command to make both the configurations consistent.</t>
  </si>
  <si>
    <t>FCR-1103</t>
  </si>
  <si>
    <t>EX_Port &lt;Port Number&gt; ELS PLOGI from did &lt;DID&gt; to sid &lt;SID&gt; wwn &lt;device wwn&gt; NOT ZONED</t>
  </si>
  <si>
    <t>Indicates that FCR has received an ELS request for unzoned devices</t>
  </si>
  <si>
    <t>SEC-1193</t>
  </si>
  <si>
    <t>INFO</t>
  </si>
  <si>
    <t>Security violation: Login failure attempt via &lt;connection method&gt;. IP Addr: &lt;IP address&gt;.</t>
  </si>
  <si>
    <t>Indicates a specified login security violation was reported. The wrong password was used while trying to log in through the specified connection method; the login failed.</t>
  </si>
  <si>
    <t>The error message lists the violating IP address. Verify that this IP address is being used by a valid switch admin. Use the correct password.</t>
  </si>
  <si>
    <t>SEC-3039</t>
  </si>
  <si>
    <t>Event:Security Violation , Status: failed, Info: Unauthorized host with IP address &lt;IP address
of the violating host&gt; tries to establish connection using &lt;Protocol Connection Type&gt;.</t>
  </si>
  <si>
    <t>Indicates a security violation was reported. The IP address of the unauthorized host is displayed in the message.</t>
  </si>
  <si>
    <t>Check for unauthorized access to the switch through the specified protocol connection.</t>
  </si>
  <si>
    <t>Blade_шасси_eng</t>
  </si>
  <si>
    <t>=CELL("address",INDEX($A$18:$A$24,MATCH(A26,$A$18:$A$24,1)))</t>
  </si>
  <si>
    <t>Blade_шасси_ru</t>
  </si>
  <si>
    <t>=ADDRESS(MATCH("KR256",A1:A20,0),3)</t>
  </si>
  <si>
    <t>Коммутаторы_eng</t>
  </si>
  <si>
    <t>Коммутаторы_ru</t>
  </si>
  <si>
    <t>Фабрика_eng</t>
  </si>
  <si>
    <t>Фабрика_ru</t>
  </si>
  <si>
    <t>Коммутаторы_перевод_eng</t>
  </si>
  <si>
    <t>Коммутаторы_перевод_ru</t>
  </si>
  <si>
    <t>Глобальные_параметры_фабрики_eng</t>
  </si>
  <si>
    <t>Глобальные_параметры_фабрики_ru</t>
  </si>
  <si>
    <t>Параметры_коммутаторов_eng</t>
  </si>
  <si>
    <t>Параметры_коммутаторов_ru</t>
  </si>
  <si>
    <t>MAPS_eng</t>
  </si>
  <si>
    <t>MAPS_ru</t>
  </si>
  <si>
    <t>Лицензии_eng</t>
  </si>
  <si>
    <t>Лицензии_ru</t>
  </si>
  <si>
    <t>Статистика_коммутаторов_перевод_eng</t>
  </si>
  <si>
    <t>Статистика_коммутаторов_перевод_ru</t>
  </si>
  <si>
    <t>Статистика_портов_eng</t>
  </si>
  <si>
    <t>Статистика_портов_ru</t>
  </si>
  <si>
    <t>Межкоммутаторные_соединения_eng</t>
  </si>
  <si>
    <t>Межкоммутаторные_соединения_ru</t>
  </si>
  <si>
    <t>Межфабричные_соединения_available</t>
  </si>
  <si>
    <t>Межфабричные_соединения_eng</t>
  </si>
  <si>
    <t>Межфабричные_соединения_ru</t>
  </si>
  <si>
    <t>Массивы_eng</t>
  </si>
  <si>
    <t>Массивы_ru</t>
  </si>
  <si>
    <t>A</t>
  </si>
  <si>
    <t>Библиотеки_eng</t>
  </si>
  <si>
    <t>B</t>
  </si>
  <si>
    <t>Библиотеки_ru</t>
  </si>
  <si>
    <t>C</t>
  </si>
  <si>
    <t>Серверы_eng</t>
  </si>
  <si>
    <t>D</t>
  </si>
  <si>
    <t>Серверы_ru</t>
  </si>
  <si>
    <t>E</t>
  </si>
  <si>
    <t>Подключение_массивов_eng</t>
  </si>
  <si>
    <t>F</t>
  </si>
  <si>
    <t>Подключение_массивов_ru</t>
  </si>
  <si>
    <t>G</t>
  </si>
  <si>
    <t>Подключение_библиотек_eng</t>
  </si>
  <si>
    <t>H</t>
  </si>
  <si>
    <t>Подключение_библиотек_ru</t>
  </si>
  <si>
    <t>I</t>
  </si>
  <si>
    <t>Подключение_серверов_eng</t>
  </si>
  <si>
    <t>J</t>
  </si>
  <si>
    <t>Подключение_серверов_ru</t>
  </si>
  <si>
    <t>K</t>
  </si>
  <si>
    <t>Микрокоды_HBA_eng</t>
  </si>
  <si>
    <t>L</t>
  </si>
  <si>
    <t>Микрокоды_HBA_ru</t>
  </si>
  <si>
    <t>M</t>
  </si>
  <si>
    <t>Ошибки_eng</t>
  </si>
  <si>
    <t>N</t>
  </si>
  <si>
    <t>Ошибки_ru</t>
  </si>
  <si>
    <t>O</t>
  </si>
  <si>
    <t>Параметры_SFP_eng</t>
  </si>
  <si>
    <t>P</t>
  </si>
  <si>
    <t>Параметры_SFP_ru</t>
  </si>
  <si>
    <t>Q</t>
  </si>
  <si>
    <t>Параметры_портов_eng</t>
  </si>
  <si>
    <t>R</t>
  </si>
  <si>
    <t>Параметры_портов_ru</t>
  </si>
  <si>
    <t>S</t>
  </si>
  <si>
    <t>NPIV_порты_eng</t>
  </si>
  <si>
    <t>T</t>
  </si>
  <si>
    <t>NPIV_порты_ru</t>
  </si>
  <si>
    <t>U</t>
  </si>
  <si>
    <t>MAPS_порты_eng</t>
  </si>
  <si>
    <t>V</t>
  </si>
  <si>
    <t>MAPS_порты_ru</t>
  </si>
  <si>
    <t>W</t>
  </si>
  <si>
    <t>Зонирование_eng</t>
  </si>
  <si>
    <t>X</t>
  </si>
  <si>
    <t>Зонирование_ru</t>
  </si>
  <si>
    <t>Y</t>
  </si>
  <si>
    <t>Псевдонимы_eng</t>
  </si>
  <si>
    <t>Z</t>
  </si>
  <si>
    <t>Псевдонимы_ru</t>
  </si>
  <si>
    <t>Зонирование_перевод_eng</t>
  </si>
  <si>
    <t>Зонирование_перевод_ru</t>
  </si>
  <si>
    <t>Порты_не_в_зонах_eng</t>
  </si>
  <si>
    <t>Порты_не_в_зонах_ru</t>
  </si>
  <si>
    <t>Порты_без_псевдономов_eng</t>
  </si>
  <si>
    <t>Порты_без_псевдономов_ru</t>
  </si>
  <si>
    <t>Отсутствуют_в_сети_eng</t>
  </si>
  <si>
    <t>Отсутствуют_в_сети_ru</t>
  </si>
  <si>
    <t>Статистика_зон_eng</t>
  </si>
  <si>
    <t>Статистика_зон_ru</t>
  </si>
  <si>
    <t>Статистика_псевдонимов_eng</t>
  </si>
  <si>
    <t>Статистика_псевдонимов_ru</t>
  </si>
  <si>
    <t>Статистика_конфигурации_eng</t>
  </si>
  <si>
    <t>Статистика_конфигурации_ru</t>
  </si>
  <si>
    <t>Датчики_eng</t>
  </si>
  <si>
    <t>Датчики_ru</t>
  </si>
  <si>
    <t>Датчики_перевод_eng</t>
  </si>
  <si>
    <t>Датчики_перевод_ru</t>
  </si>
  <si>
    <t>Статистика_подключения_устройств_перевод_eng</t>
  </si>
  <si>
    <t>Статистика_подключения_устройств_перевод_ru</t>
  </si>
  <si>
    <t>Статистика_ISL_перевод_eng</t>
  </si>
  <si>
    <t>Статистика_ISL_перевод_ru</t>
  </si>
  <si>
    <t>Статистика_соединений_eng</t>
  </si>
  <si>
    <t>Статистика_соединений_ru</t>
  </si>
  <si>
    <t>Журнал_eng</t>
  </si>
  <si>
    <t>Журнал_ru</t>
  </si>
  <si>
    <t>Презентация_eng</t>
  </si>
  <si>
    <t>Презентация_ru</t>
  </si>
  <si>
    <t>Column links</t>
  </si>
  <si>
    <t>Имя корзины</t>
  </si>
  <si>
    <t>Fabric_name</t>
  </si>
  <si>
    <t>Фабрика</t>
  </si>
  <si>
    <t>duplicated_fabric_domain</t>
  </si>
  <si>
    <t>номер домена не уникален</t>
  </si>
  <si>
    <t>no_target, no_initiator</t>
  </si>
  <si>
    <t>нет инициатора, нет таргета</t>
  </si>
  <si>
    <t>Температура</t>
  </si>
  <si>
    <t>Имя массива</t>
  </si>
  <si>
    <t>Модель корзины</t>
  </si>
  <si>
    <t>Fabric_label</t>
  </si>
  <si>
    <t>Подсеть</t>
  </si>
  <si>
    <t>uptime_exceeded</t>
  </si>
  <si>
    <t>время непрерывной работы превышено</t>
  </si>
  <si>
    <t>Device_Host_Name</t>
  </si>
  <si>
    <t>Имя устройства</t>
  </si>
  <si>
    <t>replication_zone</t>
  </si>
  <si>
    <t>зона репликации</t>
  </si>
  <si>
    <t>Fan</t>
  </si>
  <si>
    <t>Вентилятор</t>
  </si>
  <si>
    <t>deviceType</t>
  </si>
  <si>
    <t>Класс устройства</t>
  </si>
  <si>
    <t>System_Name_duplicates_free</t>
  </si>
  <si>
    <t>Название массива</t>
  </si>
  <si>
    <t>Заводской номер</t>
  </si>
  <si>
    <t>Имя шасси</t>
  </si>
  <si>
    <t>switch_pair_absent</t>
  </si>
  <si>
    <t>отсутствует парный коммутатор</t>
  </si>
  <si>
    <t>Total</t>
  </si>
  <si>
    <t>Всего</t>
  </si>
  <si>
    <t>Backbone Fabric ID</t>
  </si>
  <si>
    <t>Group_Name</t>
  </si>
  <si>
    <t>Имя группы псевдонимов</t>
  </si>
  <si>
    <t>Производитель</t>
  </si>
  <si>
    <t>Входит в конфигурацию</t>
  </si>
  <si>
    <t>cfg_type</t>
  </si>
  <si>
    <t>Тип конфигурации</t>
  </si>
  <si>
    <t>no_initiator</t>
  </si>
  <si>
    <t>нет инициатора</t>
  </si>
  <si>
    <t>Идентификатор порта WWPN</t>
  </si>
  <si>
    <t>Total_alias_quantity</t>
  </si>
  <si>
    <t>Всего псевдонимов</t>
  </si>
  <si>
    <t>zone_tag</t>
  </si>
  <si>
    <t>Всего зон в активной конфигурации</t>
  </si>
  <si>
    <t>Power Supply</t>
  </si>
  <si>
    <t>Блок питания</t>
  </si>
  <si>
    <t>Device_Location</t>
  </si>
  <si>
    <t>Расположение</t>
  </si>
  <si>
    <t>Имя хоста</t>
  </si>
  <si>
    <t>IP-адрес активного OA</t>
  </si>
  <si>
    <t>Идентификатор Wwn шасси</t>
  </si>
  <si>
    <t>Имя коммутатора</t>
  </si>
  <si>
    <t>different_fos_within_sw_pair</t>
  </si>
  <si>
    <t>парные коммутаторы имеют различный fos</t>
  </si>
  <si>
    <t>Trunking_lic</t>
  </si>
  <si>
    <t>Лицензия Trunking</t>
  </si>
  <si>
    <t>Имя шасси BB</t>
  </si>
  <si>
    <t>Модель</t>
  </si>
  <si>
    <t>Тип порта  устройства</t>
  </si>
  <si>
    <t>ОС</t>
  </si>
  <si>
    <t>Device_Host_Name_duplicates_free</t>
  </si>
  <si>
    <t>Название устройства</t>
  </si>
  <si>
    <t>Псевдоним</t>
  </si>
  <si>
    <t>no_target</t>
  </si>
  <si>
    <t>нет таргета</t>
  </si>
  <si>
    <t>defined</t>
  </si>
  <si>
    <t>Псевдонимов, используемых только в неактивных зонах</t>
  </si>
  <si>
    <t>qos_tag</t>
  </si>
  <si>
    <t>QOS зон</t>
  </si>
  <si>
    <t>Ok</t>
  </si>
  <si>
    <t>ОК</t>
  </si>
  <si>
    <t>deviceSubtype</t>
  </si>
  <si>
    <t>Тип устройства</t>
  </si>
  <si>
    <t>Режим ОС</t>
  </si>
  <si>
    <t>ModelName</t>
  </si>
  <si>
    <t>MAPS включен</t>
  </si>
  <si>
    <t>LS_type_report</t>
  </si>
  <si>
    <t>Тип коммутатора</t>
  </si>
  <si>
    <t>Fabric_Vision_lic</t>
  </si>
  <si>
    <t>Лицензия Fabric Vision</t>
  </si>
  <si>
    <t>Total_ports_number</t>
  </si>
  <si>
    <t>Всего портов</t>
  </si>
  <si>
    <t>switchPair_id</t>
  </si>
  <si>
    <t>Идентификатор пары коммутаторов</t>
  </si>
  <si>
    <t>Имя коммутатора BB</t>
  </si>
  <si>
    <t>Серийный номер</t>
  </si>
  <si>
    <t>Порт устройства</t>
  </si>
  <si>
    <t>Идентификатор порта WWNN</t>
  </si>
  <si>
    <t>Индекс порта</t>
  </si>
  <si>
    <t>Connected_switchPair_id</t>
  </si>
  <si>
    <t>Идентификатор пары устройств</t>
  </si>
  <si>
    <t>Exploded_column</t>
  </si>
  <si>
    <t>Группа портов</t>
  </si>
  <si>
    <t>Зона</t>
  </si>
  <si>
    <t>zonemember_duplicates_free</t>
  </si>
  <si>
    <t>Название псевдонима</t>
  </si>
  <si>
    <t>several_initiators</t>
  </si>
  <si>
    <t>несколько инициаторов</t>
  </si>
  <si>
    <t>Псевдонимов, используемых в активных зонах</t>
  </si>
  <si>
    <t>lsan_tag</t>
  </si>
  <si>
    <t>LSAN зон</t>
  </si>
  <si>
    <t>Номер датчика</t>
  </si>
  <si>
    <t>Absent</t>
  </si>
  <si>
    <t>Отсутствует</t>
  </si>
  <si>
    <t>Дата сбора конфигурации</t>
  </si>
  <si>
    <t>Порт массива</t>
  </si>
  <si>
    <t>Название фабрики</t>
  </si>
  <si>
    <t>NTP-сервер</t>
  </si>
  <si>
    <t>MAPS мигрирован</t>
  </si>
  <si>
    <t>Установленные лицензии</t>
  </si>
  <si>
    <t>Total switches</t>
  </si>
  <si>
    <t>Всего коммутаторов</t>
  </si>
  <si>
    <t>Online</t>
  </si>
  <si>
    <t>IP-Адрес</t>
  </si>
  <si>
    <t>Режим порта массива</t>
  </si>
  <si>
    <t>Слот</t>
  </si>
  <si>
    <t>zone_duplicates_free</t>
  </si>
  <si>
    <t>Название зоны</t>
  </si>
  <si>
    <t>Идентификатор псевдонима</t>
  </si>
  <si>
    <t>no_target, several_initiators</t>
  </si>
  <si>
    <t>нет таргета, несколько инициаторов</t>
  </si>
  <si>
    <t>absent</t>
  </si>
  <si>
    <t>Портов отсутствует</t>
  </si>
  <si>
    <t>Псевдонимов, не используемых в зонах</t>
  </si>
  <si>
    <t>property</t>
  </si>
  <si>
    <t>Peer зон</t>
  </si>
  <si>
    <t>Область контроля</t>
  </si>
  <si>
    <t>С</t>
  </si>
  <si>
    <t>°C</t>
  </si>
  <si>
    <t>Connected_SwitchName</t>
  </si>
  <si>
    <t>Имя коммутатора подключения</t>
  </si>
  <si>
    <t>Switch_quantity</t>
  </si>
  <si>
    <t>Количество коммутаторов</t>
  </si>
  <si>
    <t>Год/Месяц события</t>
  </si>
  <si>
    <t>Storage_Port_Wwnp</t>
  </si>
  <si>
    <t>WWPN порта массива</t>
  </si>
  <si>
    <t>Гнездо</t>
  </si>
  <si>
    <t>Идентификатор Wwn коммутатора</t>
  </si>
  <si>
    <t>Часовой пояс</t>
  </si>
  <si>
    <t>MAPS policy</t>
  </si>
  <si>
    <t>Trunking_license</t>
  </si>
  <si>
    <t>Лицензия "Trunking"</t>
  </si>
  <si>
    <t>Total chassis</t>
  </si>
  <si>
    <t>Всего шасси</t>
  </si>
  <si>
    <t>Licensed</t>
  </si>
  <si>
    <t>Портов с лицензией</t>
  </si>
  <si>
    <t>Индекс порта BB</t>
  </si>
  <si>
    <t>Роль порта массива</t>
  </si>
  <si>
    <t>Порт</t>
  </si>
  <si>
    <t>Wwn_type</t>
  </si>
  <si>
    <t>Тип Wwn псевдонима</t>
  </si>
  <si>
    <t>local</t>
  </si>
  <si>
    <t>доступно</t>
  </si>
  <si>
    <t>Fabric_device_status</t>
  </si>
  <si>
    <t>Статус устройства в сети конфигурации</t>
  </si>
  <si>
    <t>Портов доступно (локальные)</t>
  </si>
  <si>
    <t>Локальных устройств</t>
  </si>
  <si>
    <t>tdz_tag</t>
  </si>
  <si>
    <t>TDZ зон</t>
  </si>
  <si>
    <t>Состояние</t>
  </si>
  <si>
    <t>RPM</t>
  </si>
  <si>
    <t>об/мин</t>
  </si>
  <si>
    <t>Group_type</t>
  </si>
  <si>
    <t>Тип группы портов</t>
  </si>
  <si>
    <t>Native_Switch_connection_quantity</t>
  </si>
  <si>
    <t>Количество соединений c Native коммутаторами</t>
  </si>
  <si>
    <t>Идентификатор события</t>
  </si>
  <si>
    <t>Тип гнезда</t>
  </si>
  <si>
    <t>Код модели</t>
  </si>
  <si>
    <t>Номер домена</t>
  </si>
  <si>
    <t>timezone_hm</t>
  </si>
  <si>
    <t>Часовая зона</t>
  </si>
  <si>
    <t>MAPS actions</t>
  </si>
  <si>
    <t>Fabric_Vision_license</t>
  </si>
  <si>
    <t>Лицензия  "Fabric Vision"</t>
  </si>
  <si>
    <t>Model_Asymmetry_note</t>
  </si>
  <si>
    <t>Примечание. Различное количество моделей в подсетях</t>
  </si>
  <si>
    <t>Not_licensed</t>
  </si>
  <si>
    <t>Портов без лицензии</t>
  </si>
  <si>
    <t>Слот BB</t>
  </si>
  <si>
    <t>Поддерживается компанией HPE?</t>
  </si>
  <si>
    <t>Описание</t>
  </si>
  <si>
    <t>FCID</t>
  </si>
  <si>
    <t>Wwnn_unpack</t>
  </si>
  <si>
    <t>Wwnn соответсвует двум и более Wwnp</t>
  </si>
  <si>
    <t>отсутствует</t>
  </si>
  <si>
    <t>zonemember_Fabric_name</t>
  </si>
  <si>
    <t>Фабрика устройства</t>
  </si>
  <si>
    <t>remote_na</t>
  </si>
  <si>
    <t>Портов недоступно (подключено в другую фабрику)</t>
  </si>
  <si>
    <t>remote_imported</t>
  </si>
  <si>
    <t>Импортируемых устройств</t>
  </si>
  <si>
    <t>Локальных устройств в конфигурации</t>
  </si>
  <si>
    <t>Показания</t>
  </si>
  <si>
    <t>Group_level</t>
  </si>
  <si>
    <t>Идентификатор пары коммутатора подключения</t>
  </si>
  <si>
    <t>Native_Logical_link_quantity</t>
  </si>
  <si>
    <t>Количество логических линков к Native коммутаторам</t>
  </si>
  <si>
    <t>Уровень критичности</t>
  </si>
  <si>
    <t>Модель HPE</t>
  </si>
  <si>
    <t>Syslog-сервер</t>
  </si>
  <si>
    <t>Generation_Asymmetry_note</t>
  </si>
  <si>
    <t>Примечание. Различное количество поколений в подсетях</t>
  </si>
  <si>
    <t>%_occupied</t>
  </si>
  <si>
    <t>Link cost</t>
  </si>
  <si>
    <t>Connected_switchPWwn</t>
  </si>
  <si>
    <t>Порт BB</t>
  </si>
  <si>
    <t>Device_Fw</t>
  </si>
  <si>
    <t>Текущая версия микрокода</t>
  </si>
  <si>
    <t>Режим коммутатора</t>
  </si>
  <si>
    <t>Virtual_Channel</t>
  </si>
  <si>
    <t>Номер VC</t>
  </si>
  <si>
    <t>Тип члена Peer зоны</t>
  </si>
  <si>
    <t>недоступно (подключено в другую фабрику)</t>
  </si>
  <si>
    <t>zonemember_Fabric_label</t>
  </si>
  <si>
    <t>Подсеть устройства</t>
  </si>
  <si>
    <t>Портов доступно (импортировано)</t>
  </si>
  <si>
    <t>Отсутствующих устройств</t>
  </si>
  <si>
    <t>Импортируемых устройств в конфигурации</t>
  </si>
  <si>
    <t>Единица измерения</t>
  </si>
  <si>
    <t>FLOGI</t>
  </si>
  <si>
    <t>Имя NPIV устройства</t>
  </si>
  <si>
    <t>Native_Physical_link_quantity</t>
  </si>
  <si>
    <t>Количество физических линков к Native коммутаторам</t>
  </si>
  <si>
    <t>Событие</t>
  </si>
  <si>
    <t>Storage_Fabric_name</t>
  </si>
  <si>
    <t>Фабрика порта массива</t>
  </si>
  <si>
    <t>Модель устройства</t>
  </si>
  <si>
    <t>Модель Brocade</t>
  </si>
  <si>
    <t>IP-адрес интерфейса управления</t>
  </si>
  <si>
    <t>SNMP-сервер</t>
  </si>
  <si>
    <t>Mode_Asymmetry_note</t>
  </si>
  <si>
    <t>Примечание. Различное количество режимов коммутаторов в подсетях</t>
  </si>
  <si>
    <t>N:E_num</t>
  </si>
  <si>
    <t>Переподписка (N:E)</t>
  </si>
  <si>
    <t>Модель SFP</t>
  </si>
  <si>
    <t>Скорость, Гб/c</t>
  </si>
  <si>
    <t>FW_Supported</t>
  </si>
  <si>
    <t>Поддерживается?</t>
  </si>
  <si>
    <t>Текущая версия драйвера</t>
  </si>
  <si>
    <t>Connected_speed</t>
  </si>
  <si>
    <t>Скорость NPIV порта, Гб/c</t>
  </si>
  <si>
    <t>it-flows</t>
  </si>
  <si>
    <t>Initiator to target flow ratio</t>
  </si>
  <si>
    <t>импортировано</t>
  </si>
  <si>
    <t>remote_configured</t>
  </si>
  <si>
    <t>Портов сконфигурировано</t>
  </si>
  <si>
    <t>Устройств, подключенных в другую фабрику</t>
  </si>
  <si>
    <t>Отсутствующих устройств в конфигурации</t>
  </si>
  <si>
    <t>Device_port_quantity_A</t>
  </si>
  <si>
    <t>Количество портов в подсети А</t>
  </si>
  <si>
    <t>Connected_NPIV_name</t>
  </si>
  <si>
    <t>Native_Port_quantity</t>
  </si>
  <si>
    <t>Количество портов к Native коммутаторам</t>
  </si>
  <si>
    <t>obj</t>
  </si>
  <si>
    <t>Storage_Fabric_label</t>
  </si>
  <si>
    <t>Подсеть порта массива</t>
  </si>
  <si>
    <t>Заводской номер устройства</t>
  </si>
  <si>
    <t>Поколение</t>
  </si>
  <si>
    <t>Дней работы</t>
  </si>
  <si>
    <t>EdgeHoldTime</t>
  </si>
  <si>
    <t>N:E_bw</t>
  </si>
  <si>
    <t>Переподписка по пропускной полосе (N:E bw)</t>
  </si>
  <si>
    <t>Длина волны, нм</t>
  </si>
  <si>
    <t>Тип порта BB</t>
  </si>
  <si>
    <t>FW_Recommeneded</t>
  </si>
  <si>
    <t>Рекомендуемая версия микрокода</t>
  </si>
  <si>
    <t>Connected_Transceiver_mode</t>
  </si>
  <si>
    <t>Трансивер NPIV порта</t>
  </si>
  <si>
    <t>Статус порта</t>
  </si>
  <si>
    <t>сконфигурировано</t>
  </si>
  <si>
    <t>remote_initializing</t>
  </si>
  <si>
    <t>Портов инициализируется</t>
  </si>
  <si>
    <t>Устройств в статусе configured</t>
  </si>
  <si>
    <t>Device_port_quantity_B</t>
  </si>
  <si>
    <t>Количество портов в подсети B</t>
  </si>
  <si>
    <t>Native_Bandwidth_Gbps</t>
  </si>
  <si>
    <t>Пропускная способность соединениий c Native коммутаторами, Гб/c</t>
  </si>
  <si>
    <t>Категория события</t>
  </si>
  <si>
    <t>WWN хоста</t>
  </si>
  <si>
    <t>IP-адрес устройства</t>
  </si>
  <si>
    <t>i2cTurboCnfg</t>
  </si>
  <si>
    <t>MAPS actions код</t>
  </si>
  <si>
    <t>All</t>
  </si>
  <si>
    <t>Итого:</t>
  </si>
  <si>
    <t>Наличие trunking лицензии</t>
  </si>
  <si>
    <t>Edge Fabric ID</t>
  </si>
  <si>
    <t>Connected_QOS_Port</t>
  </si>
  <si>
    <t>QOS  NPIV порта</t>
  </si>
  <si>
    <t>инициализируется</t>
  </si>
  <si>
    <t>Total_zonemembers</t>
  </si>
  <si>
    <t>Всего членов в зоне</t>
  </si>
  <si>
    <t>Устройств в статусе initializing</t>
  </si>
  <si>
    <t>Device_port_quantity_Total</t>
  </si>
  <si>
    <t>Количество портов в фабрике</t>
  </si>
  <si>
    <t>Device_quantity</t>
  </si>
  <si>
    <t>Количество NPIV устройств</t>
  </si>
  <si>
    <t>AG_Device_connection_quantity</t>
  </si>
  <si>
    <t>Количество соединений c AG устройствами</t>
  </si>
  <si>
    <t>IP-адрес</t>
  </si>
  <si>
    <t>Host_Wwnp</t>
  </si>
  <si>
    <t>WWPN хоста</t>
  </si>
  <si>
    <t>Версия микрокода устройства</t>
  </si>
  <si>
    <t>config_collection_date_ymd</t>
  </si>
  <si>
    <t>cpuLoad</t>
  </si>
  <si>
    <t>MAPS FPI</t>
  </si>
  <si>
    <t>No_E-Ports</t>
  </si>
  <si>
    <t>нет соединений с коммутаторами</t>
  </si>
  <si>
    <t>Транкинг включен</t>
  </si>
  <si>
    <t>Имя коммутатора Edge</t>
  </si>
  <si>
    <t>Driver_Recommeneded</t>
  </si>
  <si>
    <t>Рекомендуемая версия драйвера</t>
  </si>
  <si>
    <t>Connected_Trunk_Port</t>
  </si>
  <si>
    <t>Trunk  NPIV порта</t>
  </si>
  <si>
    <t>Порта  устройства</t>
  </si>
  <si>
    <t>different_storages</t>
  </si>
  <si>
    <t>массивы разных модельных линий</t>
  </si>
  <si>
    <t>Total_zonemembers_active</t>
  </si>
  <si>
    <t>Всего "доступных" членов в зоне</t>
  </si>
  <si>
    <t>Total_no_alias_ports</t>
  </si>
  <si>
    <t>Портов без псевдонима</t>
  </si>
  <si>
    <t>Unique_VC_quantity_A</t>
  </si>
  <si>
    <t>Количество VC в подсети А</t>
  </si>
  <si>
    <t>Switch_connection_quantity</t>
  </si>
  <si>
    <t>Количество соединений</t>
  </si>
  <si>
    <t>AG_Logical_link_quantity</t>
  </si>
  <si>
    <t>Количество логических линков к AG устройствам</t>
  </si>
  <si>
    <t>Index_slot_port</t>
  </si>
  <si>
    <t>Порт коммутатора</t>
  </si>
  <si>
    <t>Host_Fabric_name</t>
  </si>
  <si>
    <t>Фабрика хоста</t>
  </si>
  <si>
    <t>Поддерживается HPE?</t>
  </si>
  <si>
    <t>Insistent Domain ID</t>
  </si>
  <si>
    <t>Bottleneckmon</t>
  </si>
  <si>
    <t>No_F-Ports</t>
  </si>
  <si>
    <t>нет соединений с устройствами</t>
  </si>
  <si>
    <t>Режим Long Distance</t>
  </si>
  <si>
    <t>Connected_Trunking_license</t>
  </si>
  <si>
    <t>Лицензия Trunk  NPIV устройства</t>
  </si>
  <si>
    <t>storage_library</t>
  </si>
  <si>
    <t>библиотека и массив</t>
  </si>
  <si>
    <t>Wwnp_duplicated</t>
  </si>
  <si>
    <t>Дубликатов Wwnp в зоне</t>
  </si>
  <si>
    <t>Total_device_ports</t>
  </si>
  <si>
    <t>Всего портов устройств в подсети</t>
  </si>
  <si>
    <t>Зон без инициатора и таргета</t>
  </si>
  <si>
    <t>Unique_VC_quantity_B</t>
  </si>
  <si>
    <t>Количество VC в подсети B</t>
  </si>
  <si>
    <t>Logical_link_quantity</t>
  </si>
  <si>
    <t>Количество логических линков</t>
  </si>
  <si>
    <t>AG_Physical_link_quantity</t>
  </si>
  <si>
    <t>Количество физических линков к AG устройствам</t>
  </si>
  <si>
    <t>Host_Fabric_label</t>
  </si>
  <si>
    <t>Подсеть хоста</t>
  </si>
  <si>
    <t>Recommended_FW</t>
  </si>
  <si>
    <t>Роль</t>
  </si>
  <si>
    <t>Приоритет Principal</t>
  </si>
  <si>
    <t>No_connected_ports</t>
  </si>
  <si>
    <t>нет соединений</t>
  </si>
  <si>
    <t>Длина линка</t>
  </si>
  <si>
    <t>Индекс порта Edge</t>
  </si>
  <si>
    <t>Тип порта коммутатора</t>
  </si>
  <si>
    <t>unused_zone</t>
  </si>
  <si>
    <t>неиспользуемая зона</t>
  </si>
  <si>
    <t>Wwnn</t>
  </si>
  <si>
    <t>Идентификаторы Wwnn в определении зоны</t>
  </si>
  <si>
    <t>Идентификаторов Wwnn</t>
  </si>
  <si>
    <t>Зон репликации</t>
  </si>
  <si>
    <t>Bandwidth_A</t>
  </si>
  <si>
    <t>Пропускная способность в подсети А, Гб/с</t>
  </si>
  <si>
    <t>Physical_link_quantity</t>
  </si>
  <si>
    <t>Количество физических линков</t>
  </si>
  <si>
    <t>AG_Port_quantity</t>
  </si>
  <si>
    <t>Количество портов к AG устройствам</t>
  </si>
  <si>
    <t>Mixed_bay_parity_note</t>
  </si>
  <si>
    <t>Примечание. Разделение IO гнезд в подсетях</t>
  </si>
  <si>
    <t>Режим</t>
  </si>
  <si>
    <t>Routing policy</t>
  </si>
  <si>
    <t>Connected_slot</t>
  </si>
  <si>
    <t>Слот Edge</t>
  </si>
  <si>
    <t>SNMP cтатус порта</t>
  </si>
  <si>
    <t>pair_zone_not_found</t>
  </si>
  <si>
    <t>парная зона не найдена</t>
  </si>
  <si>
    <t>Wwnp</t>
  </si>
  <si>
    <t>Идентификаторы Wwnp в определении зоны</t>
  </si>
  <si>
    <t>Идентификаторов Wwnp</t>
  </si>
  <si>
    <t>zone_duplicated_tag</t>
  </si>
  <si>
    <t>Зон дубликатов</t>
  </si>
  <si>
    <t>Bandwidth_B</t>
  </si>
  <si>
    <t>Пропускная способность в подсети B, Гб/с</t>
  </si>
  <si>
    <t>Port_quantity</t>
  </si>
  <si>
    <t>Количество портов</t>
  </si>
  <si>
    <t>AG_Bandwidth_Gbps</t>
  </si>
  <si>
    <t>Пропускная способность соединениий c AG устройствами, Гб/c</t>
  </si>
  <si>
    <t>Тип порта</t>
  </si>
  <si>
    <t>mixed_io_bay_parity_in_fabric_label</t>
  </si>
  <si>
    <t>четные и нечетные гнезда IO в подсети</t>
  </si>
  <si>
    <t>In Order Delivery</t>
  </si>
  <si>
    <t>Статус коммутатора</t>
  </si>
  <si>
    <t>Connected_port</t>
  </si>
  <si>
    <t>Порт Edge</t>
  </si>
  <si>
    <t>Физический статус порта</t>
  </si>
  <si>
    <t>Медленное устройство</t>
  </si>
  <si>
    <t>alias_number_per_zone</t>
  </si>
  <si>
    <t>Количество псевдонимов в зоне</t>
  </si>
  <si>
    <t>Идентификаторов Wwnn, соответствующих двум и более Wwnp</t>
  </si>
  <si>
    <t>zone_absorbed_tag</t>
  </si>
  <si>
    <t>Зон, входящих в другие зоны</t>
  </si>
  <si>
    <t>Device_connection_note</t>
  </si>
  <si>
    <t>Примечание. Количество портов</t>
  </si>
  <si>
    <t>Bandwidth_Gbps</t>
  </si>
  <si>
    <t>Пропускная способность соединения, Гб/c</t>
  </si>
  <si>
    <t>Индекс порта подключения</t>
  </si>
  <si>
    <t>Скорость Edge, Гб/c</t>
  </si>
  <si>
    <t>Лицензия POD</t>
  </si>
  <si>
    <t>Подключено через AG</t>
  </si>
  <si>
    <t>Yes</t>
  </si>
  <si>
    <t>Wwn_number_defined</t>
  </si>
  <si>
    <t>Всего Wwnn(Wwnp) сконфигурировано в зоне</t>
  </si>
  <si>
    <t>alias_Wwnn</t>
  </si>
  <si>
    <t>Псевдонимов с  Wwnn</t>
  </si>
  <si>
    <t>zone_paired_tag</t>
  </si>
  <si>
    <t>Парных зон</t>
  </si>
  <si>
    <t>Single_VC_note</t>
  </si>
  <si>
    <t>Примечание. Виртуальный канал VC</t>
  </si>
  <si>
    <t>Порты с автоматической скоростью, шт</t>
  </si>
  <si>
    <t>tx_port</t>
  </si>
  <si>
    <t>Fabric_domain_note</t>
  </si>
  <si>
    <t>Примечение. Номер домена</t>
  </si>
  <si>
    <t>DLS Lossless</t>
  </si>
  <si>
    <t>Слот подключения</t>
  </si>
  <si>
    <t>Connected_portType</t>
  </si>
  <si>
    <t>Тип порта Edge</t>
  </si>
  <si>
    <t>Идентификатор узла WWNN</t>
  </si>
  <si>
    <t>Настройка Distance</t>
  </si>
  <si>
    <t>No</t>
  </si>
  <si>
    <t>Wwn_number_actual</t>
  </si>
  <si>
    <t>Фактическое число Wwnp в зоне</t>
  </si>
  <si>
    <t>alias_Wwnn_unpack</t>
  </si>
  <si>
    <t>Псевдонимов с  Wwnn, соответствующих двум и более Wwnp</t>
  </si>
  <si>
    <t>Зон без инициатора</t>
  </si>
  <si>
    <t>Bandwidth_note</t>
  </si>
  <si>
    <t>Примечание. Пропускная способность</t>
  </si>
  <si>
    <t>Speed_Fixed</t>
  </si>
  <si>
    <t>Порты с фиксированная скоростью, шт</t>
  </si>
  <si>
    <t>FOS_fabric_max</t>
  </si>
  <si>
    <t>Максимальная версия микрокода в фабрике</t>
  </si>
  <si>
    <t>rx_port</t>
  </si>
  <si>
    <t>Fabric_host_status</t>
  </si>
  <si>
    <t>Статус хоста в сети массива</t>
  </si>
  <si>
    <t>Uptime_note</t>
  </si>
  <si>
    <t>Примечение. Время работы</t>
  </si>
  <si>
    <t>enforce_login</t>
  </si>
  <si>
    <t>Порт подключения</t>
  </si>
  <si>
    <t>IFL_number</t>
  </si>
  <si>
    <t>Идентификатор IFL</t>
  </si>
  <si>
    <t>wwnp_instance_number_per_alias</t>
  </si>
  <si>
    <t>Количество идентификатора WWPN в псевдониме</t>
  </si>
  <si>
    <t>mixed_wwn_di_zone</t>
  </si>
  <si>
    <t>смешанная зона (wwn, di)</t>
  </si>
  <si>
    <t>Target_Initiator_note</t>
  </si>
  <si>
    <t>Примечание. Количество таргетов и инициаторов в зоне</t>
  </si>
  <si>
    <t>alias_duplicated_wwnp</t>
  </si>
  <si>
    <t>Псевдонимов с повторяющимися Wwnp в определении псевдонима</t>
  </si>
  <si>
    <t>Зон без таргета</t>
  </si>
  <si>
    <t>Low_speed_note</t>
  </si>
  <si>
    <t>Примечание. Низкая скорость подключения</t>
  </si>
  <si>
    <t>Speed_Max</t>
  </si>
  <si>
    <t>Порты с максимальной скоростью, шт</t>
  </si>
  <si>
    <t>sid</t>
  </si>
  <si>
    <t>Имя хоста в SAN</t>
  </si>
  <si>
    <t>Switch_pair_absence_note</t>
  </si>
  <si>
    <t>Примечание. Парный коммутатор</t>
  </si>
  <si>
    <t>Blade fault auto-recovery</t>
  </si>
  <si>
    <t>Connected_cost</t>
  </si>
  <si>
    <t>Link cost порта подключения</t>
  </si>
  <si>
    <t>Проверка доступа</t>
  </si>
  <si>
    <t>Target_model_note</t>
  </si>
  <si>
    <t>Примечание. Модели таргетов в зоне</t>
  </si>
  <si>
    <t>alias_duplicated</t>
  </si>
  <si>
    <t>Псевдонимов дубликатов</t>
  </si>
  <si>
    <t>Зон с несколькими инициаторами</t>
  </si>
  <si>
    <t>Storage_Lib_speed_note</t>
  </si>
  <si>
    <t>Примечание. Автоматический режим скорости</t>
  </si>
  <si>
    <t>Speed_Reduced</t>
  </si>
  <si>
    <t>Порты с пониженной скоростью, шт</t>
  </si>
  <si>
    <t>Core_switch_note</t>
  </si>
  <si>
    <t>Примечение. Ядро сети</t>
  </si>
  <si>
    <t>did</t>
  </si>
  <si>
    <t>Порт хоста</t>
  </si>
  <si>
    <t>Switch_pair_FOS_note</t>
  </si>
  <si>
    <t>Примечание. Микрокод парных коммутаторов</t>
  </si>
  <si>
    <t>BackEnd Credit Recovery</t>
  </si>
  <si>
    <t>SDDQ_switch_quantity</t>
  </si>
  <si>
    <t>Портов коммутатора в карантине SDDQ</t>
  </si>
  <si>
    <t>Connected_Vendor_PN</t>
  </si>
  <si>
    <t>Модель SFP подключения</t>
  </si>
  <si>
    <t>Link cost Edge</t>
  </si>
  <si>
    <t>Трансивер</t>
  </si>
  <si>
    <t>Mixed_zone_note</t>
  </si>
  <si>
    <t>Примечание. Смешанная Wwn и DI зона</t>
  </si>
  <si>
    <t>ports_per_alias_mean</t>
  </si>
  <si>
    <t>Среднее количество портов в псевдонимах</t>
  </si>
  <si>
    <t>Зон без таргета c несколькими инициаторами</t>
  </si>
  <si>
    <t>Multiple_port_speed_note</t>
  </si>
  <si>
    <t>Примечание. Различная скорость портов</t>
  </si>
  <si>
    <t>Transceiver_speed_2,4,8_Gbps</t>
  </si>
  <si>
    <t>Трансивер скорость 2,4,8 Гб/c</t>
  </si>
  <si>
    <t>Principal_core_note</t>
  </si>
  <si>
    <t>Примечение. Расположение Principal коммутатора</t>
  </si>
  <si>
    <t>wwn</t>
  </si>
  <si>
    <t>longDistance</t>
  </si>
  <si>
    <t>SDDQ_chassis_quantity</t>
  </si>
  <si>
    <t>Портов шасси в карантине SDDQ</t>
  </si>
  <si>
    <t>Connected_Wavelength_nm</t>
  </si>
  <si>
    <t>Длина волны  подключения, нм</t>
  </si>
  <si>
    <t>Device_Host_Name_per_fabric_name_and_label</t>
  </si>
  <si>
    <t>Количество портов устройства в подсети фабрики</t>
  </si>
  <si>
    <t>Поколение коммутатора</t>
  </si>
  <si>
    <t>QOS</t>
  </si>
  <si>
    <t>wwnp_instance_number_per_zone</t>
  </si>
  <si>
    <t>Количество идентификатора WWPN в зоне</t>
  </si>
  <si>
    <t>Effective_cfg_usage_note</t>
  </si>
  <si>
    <t>Примечание. Зона в активной конфигурации</t>
  </si>
  <si>
    <t>ports_per_alias_max</t>
  </si>
  <si>
    <t>Максимальное количество портов в псевдонимах</t>
  </si>
  <si>
    <t>Зон с массивами разных модельных линий</t>
  </si>
  <si>
    <t>Single_slot_note</t>
  </si>
  <si>
    <t>Примечание. Подключение в один слот</t>
  </si>
  <si>
    <t>Transceiver_speed_4,8,16_Gbps</t>
  </si>
  <si>
    <t>Трансивер скорость 4,8,16 Гб/c</t>
  </si>
  <si>
    <t>Principal_fos_note</t>
  </si>
  <si>
    <t>Примечение. Версия FOS Principal коммутатора</t>
  </si>
  <si>
    <t>Device_Host_Name_Port</t>
  </si>
  <si>
    <t>Имя/порт устройства</t>
  </si>
  <si>
    <t>pidFormat</t>
  </si>
  <si>
    <t xml:space="preserve">Максимальное число портов SDDQ в шасси </t>
  </si>
  <si>
    <t>Наличие trunking лицензии  подключения</t>
  </si>
  <si>
    <t>Device_Host_Name_per_fabric_label</t>
  </si>
  <si>
    <t>Количество портов устройства в фабриках подсети</t>
  </si>
  <si>
    <t>Поддерживается в коммутаторах поколений</t>
  </si>
  <si>
    <t>Trunk</t>
  </si>
  <si>
    <t>Pair_zone_note</t>
  </si>
  <si>
    <t>Примечание. Парная зона</t>
  </si>
  <si>
    <t>ports_per_alias_min</t>
  </si>
  <si>
    <t>Минимальное количество портов в псевдонимах</t>
  </si>
  <si>
    <t>Зон с библиотекой и массивом</t>
  </si>
  <si>
    <t>Multiple_fabrics_connection_note</t>
  </si>
  <si>
    <t>Примечание. Подключение в разные фабрики</t>
  </si>
  <si>
    <t>Transceiver_speed_8,16,32_Gbps</t>
  </si>
  <si>
    <t>Трансивер скорость 8,16,32 Гб/c</t>
  </si>
  <si>
    <t>principal_not_in_core</t>
  </si>
  <si>
    <t>principal не в ядре</t>
  </si>
  <si>
    <t>targetPeerZoning включен</t>
  </si>
  <si>
    <t>SDDQ_chassis_reserve</t>
  </si>
  <si>
    <t>Запас SDDQ портов в шасси</t>
  </si>
  <si>
    <t>Транкинг включен на порту подключения</t>
  </si>
  <si>
    <t>Device_Host_Name_per_fabric_name</t>
  </si>
  <si>
    <t>Количество портов устройства в подсетях фабрики</t>
  </si>
  <si>
    <t>Transceiver_Supported</t>
  </si>
  <si>
    <t>Поддерживается в данной модели коммутатора?</t>
  </si>
  <si>
    <t>Лицензия Trunk</t>
  </si>
  <si>
    <t>zonemember_alias</t>
  </si>
  <si>
    <t>Члены зоны определены через псевдоним</t>
  </si>
  <si>
    <t>active_ports_per_alias_mean</t>
  </si>
  <si>
    <t>Среднее количество активных портов в псевдонимах</t>
  </si>
  <si>
    <t>Cмешанных зон (WWN, DI)</t>
  </si>
  <si>
    <t>Symmetric_note</t>
  </si>
  <si>
    <t>Примечание. Симметричность подключения</t>
  </si>
  <si>
    <t>Transceiver_mode_sw</t>
  </si>
  <si>
    <t>Трансивер sw</t>
  </si>
  <si>
    <t>Native_Asymmetry_note</t>
  </si>
  <si>
    <t>Примечание. Несимметричность соединений с Native коммутаторами</t>
  </si>
  <si>
    <t>Зонирование</t>
  </si>
  <si>
    <t>Top Zoned PIDs</t>
  </si>
  <si>
    <t>Connected_Long_Distance</t>
  </si>
  <si>
    <t>Режим Long Distance на порту подключения</t>
  </si>
  <si>
    <t>Failover порт</t>
  </si>
  <si>
    <t>Device_Host_Name_total_fabrics</t>
  </si>
  <si>
    <t>Всего портов устройства</t>
  </si>
  <si>
    <t>Серийный номер SFP</t>
  </si>
  <si>
    <t>Статус LSAN устройства</t>
  </si>
  <si>
    <t>zonemember_wwn</t>
  </si>
  <si>
    <t>Члены зоны определены через wwnp(wwnn)</t>
  </si>
  <si>
    <t>active_ports_per_alias_max</t>
  </si>
  <si>
    <t>Максимальное количество активных портов в псевдонимах</t>
  </si>
  <si>
    <t>commented_zone</t>
  </si>
  <si>
    <t>Всего зон с замечаниями</t>
  </si>
  <si>
    <t>Port_note</t>
  </si>
  <si>
    <t>Примечание. Подключение портов</t>
  </si>
  <si>
    <t>Transceiver_mode_lw</t>
  </si>
  <si>
    <t>Трансивер lw</t>
  </si>
  <si>
    <t>AG_Asymmetry_note</t>
  </si>
  <si>
    <t>Примечание. Несимметричность соединений с AG устройствами</t>
  </si>
  <si>
    <t>Доступ устройств при выключенном зонировании</t>
  </si>
  <si>
    <t>Connected_Distance</t>
  </si>
  <si>
    <t>Длина линка на порту подключения</t>
  </si>
  <si>
    <t>Storage_Port_Partner_Wwnp</t>
  </si>
  <si>
    <t>Идентификатор Failover порта WWPN</t>
  </si>
  <si>
    <t>Максимальная скорость</t>
  </si>
  <si>
    <t>NPIV_link_number</t>
  </si>
  <si>
    <t>Идентификатор NPIV линка</t>
  </si>
  <si>
    <t>Member_in_cfg_Fabric</t>
  </si>
  <si>
    <t>Устройство доступно в сети конфигурации</t>
  </si>
  <si>
    <t>zonemember_domain_portindex</t>
  </si>
  <si>
    <t>Члены зоны определены через DI</t>
  </si>
  <si>
    <t>active_ports_per_alias_min</t>
  </si>
  <si>
    <t>Минимальное количество активных портов в псевдонимах</t>
  </si>
  <si>
    <t>correct_zone</t>
  </si>
  <si>
    <t>Всего зон без замечаний</t>
  </si>
  <si>
    <t>no_fabric_connection</t>
  </si>
  <si>
    <t>нет подключения к подсети</t>
  </si>
  <si>
    <t>Trunking_lic_both_switches</t>
  </si>
  <si>
    <t>Наличие trunking лицензии  на обоих коммутаторах</t>
  </si>
  <si>
    <t>core_switch</t>
  </si>
  <si>
    <t>ядро фабрики</t>
  </si>
  <si>
    <t>Идентификатор транка</t>
  </si>
  <si>
    <t>Storage_Port_Partner_Fabric_name</t>
  </si>
  <si>
    <t>Фабрика Failover порта</t>
  </si>
  <si>
    <t xml:space="preserve">Режим работы </t>
  </si>
  <si>
    <t>aliasmember_wwn</t>
  </si>
  <si>
    <t>Псевдонимы и члены зоны определены через wwnp(wwnn)</t>
  </si>
  <si>
    <t>zone_number_alias_used_in_mean</t>
  </si>
  <si>
    <t>Среднее количество зон, использующих один псевдоним</t>
  </si>
  <si>
    <t>non-working_zone</t>
  </si>
  <si>
    <t>Всего "нерабочих" зон</t>
  </si>
  <si>
    <t>no_connection_fabric_A</t>
  </si>
  <si>
    <t>нет подключения к подсети A</t>
  </si>
  <si>
    <t>principal_fos_not_recent</t>
  </si>
  <si>
    <t>версия FOS не наиболее свежая в фабрике</t>
  </si>
  <si>
    <t>Рекомендации</t>
  </si>
  <si>
    <t>Host_Storage_Fabric_equal</t>
  </si>
  <si>
    <t>Хост и порт массива в одной фабрике</t>
  </si>
  <si>
    <t>Идентификатор ISL</t>
  </si>
  <si>
    <t>Storage_Port_Partner_Fabric_label</t>
  </si>
  <si>
    <t>Подсеть Failover порта</t>
  </si>
  <si>
    <t>Максимальное расстояние</t>
  </si>
  <si>
    <t>ports_per_alias</t>
  </si>
  <si>
    <t>Всего портов в псевдониме</t>
  </si>
  <si>
    <t>aliasmember_domain_portindex</t>
  </si>
  <si>
    <t>Псевдонимы и члены зон определены через DI</t>
  </si>
  <si>
    <t>zone_number_alias_used_in_max</t>
  </si>
  <si>
    <t>Максимальное количество зон, использующих один псевдоним</t>
  </si>
  <si>
    <t>Количество зон, не участвующих в активной конфигурации</t>
  </si>
  <si>
    <t>no_connection_fabric_B</t>
  </si>
  <si>
    <t>нет подключения к подсети B</t>
  </si>
  <si>
    <t>Connection_note</t>
  </si>
  <si>
    <t>Примечание. Соединение (транк, резервирование)</t>
  </si>
  <si>
    <t>Persona_correct</t>
  </si>
  <si>
    <t>Корректный режим ОС</t>
  </si>
  <si>
    <t>FC-FC Маршрутизация</t>
  </si>
  <si>
    <t>Storage_Port_Partner_Fabric_equal</t>
  </si>
  <si>
    <t>Порт массива и Failover порт в одной фабрике</t>
  </si>
  <si>
    <t>Длина волны</t>
  </si>
  <si>
    <t>active_ports_per_alias</t>
  </si>
  <si>
    <t>Количество активных портов в псевдониме</t>
  </si>
  <si>
    <t>Wwnn_to_Wwnp_number_unpacked</t>
  </si>
  <si>
    <t>Количество Wwnn, которым соответствует несколько Wwnp</t>
  </si>
  <si>
    <t>zone_number_alias_used_in_min</t>
  </si>
  <si>
    <t>Минимальное количество зон, использующих один псевдоним</t>
  </si>
  <si>
    <t>Зон без парной зоны</t>
  </si>
  <si>
    <t>unsymmetric_connection</t>
  </si>
  <si>
    <t>несимметричное подключение</t>
  </si>
  <si>
    <t>portType_nonuniformity_note</t>
  </si>
  <si>
    <t>Примечание. Разнотипность портов</t>
  </si>
  <si>
    <t>physical_link_quantity, port_quantity, bandwidth_gbps</t>
  </si>
  <si>
    <t>количество физических линков, портов, пропускная способность</t>
  </si>
  <si>
    <t>Средняя загрузка cpu</t>
  </si>
  <si>
    <t>Deskew</t>
  </si>
  <si>
    <t>Характеристики SFP</t>
  </si>
  <si>
    <t>alias_count</t>
  </si>
  <si>
    <t>Количество псевдонимов порта</t>
  </si>
  <si>
    <t>peer</t>
  </si>
  <si>
    <t>Членов peer в peer зоне</t>
  </si>
  <si>
    <t>zone_Wwnp_duplicated_tag</t>
  </si>
  <si>
    <t>Зон с дублированным идентификатором Wwnp</t>
  </si>
  <si>
    <t>single_fabric_connection</t>
  </si>
  <si>
    <t>подключение к одной подсети</t>
  </si>
  <si>
    <t>Distance_nonuniformity_note</t>
  </si>
  <si>
    <t>Примечание. Различие настроек расстояния</t>
  </si>
  <si>
    <t>device_connection_quantity, logical_link_quantity, physical_link_quantity, port_quantity, bandwidth_gbps</t>
  </si>
  <si>
    <t>количество соединений, логических линков, физических линков, портов, пропускная способность</t>
  </si>
  <si>
    <t>Использование памяти</t>
  </si>
  <si>
    <t>Мощность входящего сигнала, дБм</t>
  </si>
  <si>
    <t>Дубликаты псевдонима</t>
  </si>
  <si>
    <t>principal</t>
  </si>
  <si>
    <t>Членов principal в peer зоне</t>
  </si>
  <si>
    <t>zone_Wwnn_tag</t>
  </si>
  <si>
    <t>Зон с идентификатором Wwnn</t>
  </si>
  <si>
    <t>unsymmetric_san_connection</t>
  </si>
  <si>
    <t>несимметричное подключение в san</t>
  </si>
  <si>
    <t>Transceiver_nonuniformity_note</t>
  </si>
  <si>
    <t>Примечание. Разнотипность трансиверов</t>
  </si>
  <si>
    <t>logical_link_quantity, physical_link_quantity, port_quantity, bandwidth_gbps</t>
  </si>
  <si>
    <t>количество логических линков, физических линков, портов, пропускная способность</t>
  </si>
  <si>
    <t>Использование flash</t>
  </si>
  <si>
    <t>Параметры линии</t>
  </si>
  <si>
    <t>Мощность исходящего сигнала, дБм</t>
  </si>
  <si>
    <t>zone_name_alias_used_in</t>
  </si>
  <si>
    <t>Используется в зонах</t>
  </si>
  <si>
    <t>Членов property в peer зоне</t>
  </si>
  <si>
    <t>zone_no_alias_tag</t>
  </si>
  <si>
    <t>Зон без псевдонимов</t>
  </si>
  <si>
    <t>Portcfg_nonuniformity_note</t>
  </si>
  <si>
    <t>Примечание. Различие настроек портов</t>
  </si>
  <si>
    <t>logical_link_quantity</t>
  </si>
  <si>
    <t>количество логических линков</t>
  </si>
  <si>
    <t>Суммарная пропускная способность канала, Гб/c</t>
  </si>
  <si>
    <t>Мощность входящего сигнала, мкВт</t>
  </si>
  <si>
    <t>Модель NPIV устройства</t>
  </si>
  <si>
    <t>zone_number_alias_used_in</t>
  </si>
  <si>
    <t>Количество использующих зон</t>
  </si>
  <si>
    <t>zone_duplicated</t>
  </si>
  <si>
    <t>Дубликаты зоны</t>
  </si>
  <si>
    <t>zone_absent_zonemember_tag</t>
  </si>
  <si>
    <t>Зон c отсутствующими членами</t>
  </si>
  <si>
    <t>низкая скорость</t>
  </si>
  <si>
    <t>Speed_note</t>
  </si>
  <si>
    <t>Примечание. Скорость</t>
  </si>
  <si>
    <t>bandwidth_gbps</t>
  </si>
  <si>
    <t>пропускная способность</t>
  </si>
  <si>
    <t>Link_speedMax</t>
  </si>
  <si>
    <t>Максимальная скорость линка, Гб/c</t>
  </si>
  <si>
    <t>Мощность исходящего сигнала, мкВт</t>
  </si>
  <si>
    <t>zone_absorber</t>
  </si>
  <si>
    <t>Зона входит в активные зоны (дублирование)</t>
  </si>
  <si>
    <t>Всего активных устройств в конфигурации</t>
  </si>
  <si>
    <t>different_bandwidth</t>
  </si>
  <si>
    <t>различная пропускная способность в подсетях</t>
  </si>
  <si>
    <t>Asymmetry_note</t>
  </si>
  <si>
    <t>Примечание. Несимметричность парных соединений в подсетях</t>
  </si>
  <si>
    <t>device_connection_quantity, bandwidth_gbps</t>
  </si>
  <si>
    <t>количество устройств, пропускная способность</t>
  </si>
  <si>
    <t>Фактическая скорость линка, Гб/c</t>
  </si>
  <si>
    <t>Сила тока, мА</t>
  </si>
  <si>
    <t>Multiple_fabric_label_connection</t>
  </si>
  <si>
    <t>Устройство подключено в обе подсети фабрики</t>
  </si>
  <si>
    <t>zone_paired</t>
  </si>
  <si>
    <t>Парная зона</t>
  </si>
  <si>
    <t>Total_zoned_ports</t>
  </si>
  <si>
    <t>Всего устройств в конфигурации</t>
  </si>
  <si>
    <t>скрость не зафиксирована</t>
  </si>
  <si>
    <t>Single_connection_asymmetry_note</t>
  </si>
  <si>
    <t>Примечание. Несимметричность единичного соединения в подсети</t>
  </si>
  <si>
    <t>Загрузка CPU</t>
  </si>
  <si>
    <t>Настройка скорости</t>
  </si>
  <si>
    <t>Напряжение, мВ</t>
  </si>
  <si>
    <t>Zone_name_device_names_ratio</t>
  </si>
  <si>
    <t>Взаимосвязанность названия зоны и устройств зоны</t>
  </si>
  <si>
    <t>All_devices_multiple_fabric_label_connection</t>
  </si>
  <si>
    <t>Все активные устройства зоны подключены в обе подсети фабрики</t>
  </si>
  <si>
    <t>Количество портов устройств в подсети</t>
  </si>
  <si>
    <t>Использование оперативной памяти</t>
  </si>
  <si>
    <t>Connected_Speed_Cfg</t>
  </si>
  <si>
    <t>Настройка скорости подключения</t>
  </si>
  <si>
    <t>Температура, С</t>
  </si>
  <si>
    <t>Zone_name_device_names_related</t>
  </si>
  <si>
    <t>Название зоны и имена устройств взаимосвязаны</t>
  </si>
  <si>
    <t>Zone_and_Pairzone_names_ratio</t>
  </si>
  <si>
    <t>Взаимосвязанность названий парных зон</t>
  </si>
  <si>
    <t>Total_unzoned_ports</t>
  </si>
  <si>
    <t>Количество портов устройств, не участвующих в активной конфигурации</t>
  </si>
  <si>
    <t>Link_speedActualMax</t>
  </si>
  <si>
    <t>Канал работает на маскимальной скорости?</t>
  </si>
  <si>
    <t>Zone_and_Pairzone_names_related</t>
  </si>
  <si>
    <t>Названия парных зон взаимосвязаны</t>
  </si>
  <si>
    <t>alias_per_zone_mean</t>
  </si>
  <si>
    <t>Среднее количество псевдонимов в зонах</t>
  </si>
  <si>
    <t>A_director_quantity</t>
  </si>
  <si>
    <t>Количество директоров подключения в подсети А</t>
  </si>
  <si>
    <t>Unequal_cfg</t>
  </si>
  <si>
    <t>Несовпадающие настройки порта</t>
  </si>
  <si>
    <t>alias_per_zone_max</t>
  </si>
  <si>
    <t>Максимальное количество псевдонимов в зонах</t>
  </si>
  <si>
    <t>A_switch_quantity</t>
  </si>
  <si>
    <t>Количество коммутаторов подключения в подсети А</t>
  </si>
  <si>
    <t>Connected_Unequal_cfg</t>
  </si>
  <si>
    <t>Несовпадающие настройки порта подключения</t>
  </si>
  <si>
    <t>alias_per_zone_min</t>
  </si>
  <si>
    <t>Минимальное количество псевдонимов в зонах</t>
  </si>
  <si>
    <t>B_director_quantity</t>
  </si>
  <si>
    <t>Количество директоров подключения в подсети В</t>
  </si>
  <si>
    <t>In_Attenuation_dB(lg)</t>
  </si>
  <si>
    <t>Затухание входящего сигнала</t>
  </si>
  <si>
    <t>active_ports_per_zone_mean</t>
  </si>
  <si>
    <t>Среднее количество активных портов в зонах</t>
  </si>
  <si>
    <t>B_switch_quantity</t>
  </si>
  <si>
    <t>Количество коммутаторов подключения в подсети В</t>
  </si>
  <si>
    <t>auto_speed, low_speed</t>
  </si>
  <si>
    <t>скрость не зафиксирована, низкая скорость</t>
  </si>
  <si>
    <t>Out_Attenuation_dB(lg)</t>
  </si>
  <si>
    <t>Затухание исходящего сигнала</t>
  </si>
  <si>
    <t>active_ports_per_zone_max</t>
  </si>
  <si>
    <t>Максимальное количество  активных портов в зонах</t>
  </si>
  <si>
    <t>Unique_switch_slot_quantity_A</t>
  </si>
  <si>
    <t>Количество уникальных слотов подключения в подсети А</t>
  </si>
  <si>
    <t>auto_speed, low_speed, reduced_speed</t>
  </si>
  <si>
    <t>скрость не зафиксирована, низкая скорость, скорость ниже максимальной</t>
  </si>
  <si>
    <t>active_ports_per_zone_min</t>
  </si>
  <si>
    <t>Минимальное количество  активных портов в зонах</t>
  </si>
  <si>
    <t>Unique_switch_slot_quantity_B</t>
  </si>
  <si>
    <t>Количество уникальных слотов подключения в подсети В</t>
  </si>
  <si>
    <t>low_speed, reduced_speed</t>
  </si>
  <si>
    <t>низкая скорость, скорость ниже максимальной</t>
  </si>
  <si>
    <t>Unique_port_speed_quantity_A</t>
  </si>
  <si>
    <t>Количество значений скорости в подсети А</t>
  </si>
  <si>
    <t>reduced_speed</t>
  </si>
  <si>
    <t>скорость ниже максимальной</t>
  </si>
  <si>
    <t>Лет работы</t>
  </si>
  <si>
    <t>Unique_port_speed_quantity_B</t>
  </si>
  <si>
    <t>Количество значений скорости в подсети В</t>
  </si>
  <si>
    <t>switch_quantity, port_quantity, bandwidth_gbps</t>
  </si>
  <si>
    <t>количество коммутаторов, количество портов, пропускная способность</t>
  </si>
  <si>
    <t>Часов работы</t>
  </si>
  <si>
    <t>Credit_Recovery_cfg</t>
  </si>
  <si>
    <t>multiple fabrics connection</t>
  </si>
  <si>
    <t>подключение к нескольким фабрикам</t>
  </si>
  <si>
    <t>single VC in A</t>
  </si>
  <si>
    <t>один VC в А</t>
  </si>
  <si>
    <t>device_quantity, port_quantity, bandwidth_gbps</t>
  </si>
  <si>
    <t>количество устройств, количество портов, пропускная способность</t>
  </si>
  <si>
    <t>single VC in B</t>
  </si>
  <si>
    <t>один VC в В</t>
  </si>
  <si>
    <t>single VC in A, B</t>
  </si>
  <si>
    <t>один VC в A, B</t>
  </si>
  <si>
    <t>nonredundant_connection</t>
  </si>
  <si>
    <t>нерезервированное соединение</t>
  </si>
  <si>
    <t>multiple ports speed in A</t>
  </si>
  <si>
    <t>различная скорость портов в А</t>
  </si>
  <si>
    <t>auto_speed, low_speed, reduced_speed, speed_gbps_nonuniformity</t>
  </si>
  <si>
    <t>скрость не зафиксирована, низкая скорость, скорость ниже максимальной, скорость линков различается</t>
  </si>
  <si>
    <t>multiple ports speed in B</t>
  </si>
  <si>
    <t>различная скорость портов в В</t>
  </si>
  <si>
    <t>неизвестно</t>
  </si>
  <si>
    <t>multiple ports speed in A, B</t>
  </si>
  <si>
    <t>различная скорость портов в A, B</t>
  </si>
  <si>
    <t>link(s)_out_of_trunk</t>
  </si>
  <si>
    <t>линк(и) вне транка</t>
  </si>
  <si>
    <t>single slot connection in A</t>
  </si>
  <si>
    <t>подключение в один слот в А</t>
  </si>
  <si>
    <t>no_trunk</t>
  </si>
  <si>
    <t>нет транка</t>
  </si>
  <si>
    <t>single slot connection in B</t>
  </si>
  <si>
    <t>подключение в один слот в В</t>
  </si>
  <si>
    <t>single_link_trunk(s)</t>
  </si>
  <si>
    <t>транк(и) из одного линка</t>
  </si>
  <si>
    <t>single slot connection in A, B</t>
  </si>
  <si>
    <t>подключение в один слот в A, B</t>
  </si>
  <si>
    <t>nonredundat_trunk</t>
  </si>
  <si>
    <t>нерезервированный транк</t>
  </si>
  <si>
    <t>speed_fillword</t>
  </si>
  <si>
    <t>auto speed in A</t>
  </si>
  <si>
    <t>скрость не зафиксирована в А</t>
  </si>
  <si>
    <t>speed_cfg</t>
  </si>
  <si>
    <t>настройки скорости</t>
  </si>
  <si>
    <t>auto speed in B</t>
  </si>
  <si>
    <t>скрость не зафиксирована в В</t>
  </si>
  <si>
    <t>port_quantity, bandwidth_gbps</t>
  </si>
  <si>
    <t>количество портов, пропускная способность</t>
  </si>
  <si>
    <t>auto speed in A, B</t>
  </si>
  <si>
    <t>скрость не зафиксирована в A, B</t>
  </si>
  <si>
    <t>single_VC</t>
  </si>
  <si>
    <t>один VC</t>
  </si>
  <si>
    <t>low speed in A</t>
  </si>
  <si>
    <t>низкая скорость в А</t>
  </si>
  <si>
    <t>distance_nonuniformity</t>
  </si>
  <si>
    <t>различное расстояние</t>
  </si>
  <si>
    <t>low speed in B</t>
  </si>
  <si>
    <t>низкая скорость в В</t>
  </si>
  <si>
    <t>скорость трансивера</t>
  </si>
  <si>
    <t>low speed in A, B</t>
  </si>
  <si>
    <t>низкая скорость в A, B</t>
  </si>
  <si>
    <t>Native_Portcfg_nonuniformity_note</t>
  </si>
  <si>
    <t>Примечание. Различие настроек портов Native коммутатора</t>
  </si>
  <si>
    <t>Virtual_port_note</t>
  </si>
  <si>
    <t>Примечание. Виртуальный порт</t>
  </si>
  <si>
    <t>npiv_multiple_switch_connection</t>
  </si>
  <si>
    <t>подключение к нескольким коммутаторам</t>
  </si>
  <si>
    <t>FEC_cfg</t>
  </si>
  <si>
    <t>virtual_port_login</t>
  </si>
  <si>
    <t>логин виртуального порта</t>
  </si>
  <si>
    <t>NPIV_multiple_sw_connection_note</t>
  </si>
  <si>
    <t>Примечание. Подключение NPIV устройства к нескольким коммутаторам</t>
  </si>
  <si>
    <t>transceiver_mode, transceiver_speed</t>
  </si>
  <si>
    <t>тип трансивера, скорость трансивера</t>
  </si>
  <si>
    <t>тип трансивера</t>
  </si>
  <si>
    <t>connection_pair_absent</t>
  </si>
  <si>
    <t>парное соединение отсутствует</t>
  </si>
  <si>
    <t>auto_speed, speed_gbps</t>
  </si>
  <si>
    <t>скрость не зафиксирована, скорость линков различается</t>
  </si>
  <si>
    <t>auto_speed, low_speed, reduced_speed, speed_gbps</t>
  </si>
  <si>
    <t>device_quantity, bandwidth_gbps</t>
  </si>
  <si>
    <t>auto_speed, low_speed, speed_gbps</t>
  </si>
  <si>
    <t>скрость не зафиксирована, низкая скорость, скорость линков различается</t>
  </si>
  <si>
    <t>auto_speed, reduced_speed, speed_gbps</t>
  </si>
  <si>
    <t>скрость не зафиксирована, скорость ниже максимальной, скорость линков различается</t>
  </si>
  <si>
    <t>auto_speed, reduced_speed, speed_gbps_nonuniformity</t>
  </si>
  <si>
    <t>Список_устройств_eng</t>
  </si>
  <si>
    <t>Список_устройств_ru</t>
  </si>
  <si>
    <t>NPIV_eng_notused</t>
  </si>
  <si>
    <t>NPIV_ru_notused</t>
  </si>
  <si>
    <t>Параметры_коммутаторов_eng_unused</t>
  </si>
  <si>
    <t>Параметры_коммутаторов_ru_unused</t>
  </si>
  <si>
    <t>Межкоммутаторные_соединения_available</t>
  </si>
  <si>
    <t>NPIV_порты_available</t>
  </si>
  <si>
    <t>'configname'</t>
  </si>
  <si>
    <t>'chassis_name'</t>
  </si>
  <si>
    <t>'chassis_wwn'</t>
  </si>
  <si>
    <t>'switch_index'</t>
  </si>
  <si>
    <t>'LS_mode'</t>
  </si>
  <si>
    <t>'SwitchName'</t>
  </si>
  <si>
    <t>'Fabric_ID'</t>
  </si>
  <si>
    <t>Часовой зона</t>
  </si>
  <si>
    <t>'boot.ipa'</t>
  </si>
  <si>
    <t>'boot.mac'</t>
  </si>
  <si>
    <t>'boot.gateway.ipa'</t>
  </si>
  <si>
    <t>'fabric.domain'</t>
  </si>
  <si>
    <t>'fabric.ididmode'</t>
  </si>
  <si>
    <t>'route.delayReroute'</t>
  </si>
  <si>
    <t>'route.lossless'</t>
  </si>
  <si>
    <t>'route.stickyRoutes'</t>
  </si>
  <si>
    <t>'rte.external_policy'</t>
  </si>
  <si>
    <t>'switch.edgeHoldTime'</t>
  </si>
  <si>
    <t>Dinamic Load Sharing</t>
  </si>
  <si>
    <t>'switch.login.enforce_login'</t>
  </si>
  <si>
    <t>'ts.clockServerList'</t>
  </si>
  <si>
    <t>'fabric.principalSwSelMode'</t>
  </si>
  <si>
    <t>'zoning.targetPeerZoning'</t>
  </si>
  <si>
    <t>'enabled_zoning_config'</t>
  </si>
  <si>
    <t>'defzone'</t>
  </si>
  <si>
    <t>'bottleneck.enabled'</t>
  </si>
  <si>
    <t>Connected_NPIV</t>
  </si>
  <si>
    <t>'maps.enabled'</t>
  </si>
  <si>
    <t>'maps.activePolicy'</t>
  </si>
  <si>
    <t>'switchName'</t>
  </si>
  <si>
    <t>'switchType'</t>
  </si>
  <si>
    <t>'switchState'</t>
  </si>
  <si>
    <t>bottleneckmon включен</t>
  </si>
  <si>
    <t>'switchMode'</t>
  </si>
  <si>
    <t>Максимальное число устройств в карантине SDDQ</t>
  </si>
  <si>
    <t>'switchRole'</t>
  </si>
  <si>
    <t>'switchDomain'</t>
  </si>
  <si>
    <t>'switchId'</t>
  </si>
  <si>
    <t>'switchWwn'</t>
  </si>
  <si>
    <t>'zoning'</t>
  </si>
  <si>
    <t>'switchBeacon'</t>
  </si>
  <si>
    <t>'FC_Router'</t>
  </si>
  <si>
    <t>Connected_Transceiver</t>
  </si>
  <si>
    <t>Connected_RX_Power_dBm</t>
  </si>
  <si>
    <t>'Address_Mode'</t>
  </si>
  <si>
    <t>Connected_TX_Power_dBm</t>
  </si>
  <si>
    <t>'Fabric_Name'</t>
  </si>
  <si>
    <t>Connected_RX_Power_uW</t>
  </si>
  <si>
    <t>'HIF_Mode'</t>
  </si>
  <si>
    <t>Connected_TX_Power_uW</t>
  </si>
  <si>
    <t>'Allow_XISL_Use'</t>
  </si>
  <si>
    <t>'Base_Switch'</t>
  </si>
  <si>
    <t>Connected_Transceiver_speedMax</t>
  </si>
  <si>
    <t>'Default_Switch'</t>
  </si>
  <si>
    <t>'Fabric_name'</t>
  </si>
  <si>
    <t>'Fabric_label'</t>
  </si>
  <si>
    <t>'Name'</t>
  </si>
  <si>
    <t>Connected_licenses</t>
  </si>
  <si>
    <t>'Worldwide_Name'</t>
  </si>
  <si>
    <t>Connected_switch_speedMax</t>
  </si>
  <si>
    <t>'ams_maps_log'</t>
  </si>
  <si>
    <t>Connected_HPE_modelName</t>
  </si>
  <si>
    <t>'config_collection_date'</t>
  </si>
  <si>
    <t>'Number_of_LS'</t>
  </si>
  <si>
    <t>'ssn'</t>
  </si>
  <si>
    <t>'FOS_version'</t>
  </si>
  <si>
    <t>'FabricID'</t>
  </si>
  <si>
    <t>'snmp_server'</t>
  </si>
  <si>
    <t>'syslog_server'</t>
  </si>
  <si>
    <t>'timezone'</t>
  </si>
  <si>
    <t>timezone_hm'</t>
  </si>
  <si>
    <t>'system.cpuLoad'</t>
  </si>
  <si>
    <t>'system.i2cTurboCnfg'</t>
  </si>
  <si>
    <t>'system.intPortCrdRecov'</t>
  </si>
  <si>
    <t>'bottleneck.BECreditLossFaultingBlade'</t>
  </si>
  <si>
    <t>'fcRoute.backboneFabricId'</t>
  </si>
  <si>
    <t>'maps.migrated'</t>
  </si>
  <si>
    <t>'maps.netmon.enabled'</t>
  </si>
  <si>
    <t>'uptime_days'</t>
  </si>
  <si>
    <t>'cpu_average_load'</t>
  </si>
  <si>
    <t>Connected_Index_slot_port</t>
  </si>
  <si>
    <t>'memory_usage'</t>
  </si>
  <si>
    <t>Connected_Generation</t>
  </si>
  <si>
    <t>'flash_usage'</t>
  </si>
  <si>
    <t>'DHCP'</t>
  </si>
  <si>
    <t>'licenses'</t>
  </si>
  <si>
    <t>Connected_Octet_Speed_Combo</t>
  </si>
  <si>
    <t>Connected_FEC_cfg</t>
  </si>
  <si>
    <t>'ams_maps_config'</t>
  </si>
  <si>
    <t>Connected_10G/16G_FEC</t>
  </si>
  <si>
    <t>'Configured_Notifications'</t>
  </si>
  <si>
    <t>Connected_Credit_Recovery_cfg</t>
  </si>
  <si>
    <t>'Mail_Recipient'</t>
  </si>
  <si>
    <t>'DB_start_time'</t>
  </si>
  <si>
    <t>Connected_VC_Link_Init</t>
  </si>
  <si>
    <t>'Active_policy'</t>
  </si>
  <si>
    <t>Connected_Locked_E_Port</t>
  </si>
  <si>
    <t>Connected_Rate_Limit</t>
  </si>
  <si>
    <t>'Fenced_Ports'</t>
  </si>
  <si>
    <t>Connected_ISL_R_RDY_Mode</t>
  </si>
  <si>
    <t>'Decommissioned_Ports'</t>
  </si>
  <si>
    <t>Connected_RSCN_Suppressed</t>
  </si>
  <si>
    <t>'Quarantined_Ports'</t>
  </si>
  <si>
    <t>Connected_LOS_TOV_mode</t>
  </si>
  <si>
    <t>'Top_Zoned_PIDs'</t>
  </si>
  <si>
    <t>Connected_Transceiver_category</t>
  </si>
  <si>
    <t>'Current_Switch_Policy_Status'</t>
  </si>
  <si>
    <t>'Port_Health'</t>
  </si>
  <si>
    <t>Connected_Credit_Recovery</t>
  </si>
  <si>
    <t>'BE_Port_Health'</t>
  </si>
  <si>
    <t>Connected_Compression</t>
  </si>
  <si>
    <t>'GE_Port_Health'</t>
  </si>
  <si>
    <t>Connected_Encryption</t>
  </si>
  <si>
    <t>'Fru_Health'</t>
  </si>
  <si>
    <t>'Security_Violations'</t>
  </si>
  <si>
    <t>Connected_Fault_Delay</t>
  </si>
  <si>
    <t>Link_speedActual</t>
  </si>
  <si>
    <t>'Fabric_State_Changes'</t>
  </si>
  <si>
    <t>Connected_TDZ_mode</t>
  </si>
  <si>
    <t>'Switch_Resource'</t>
  </si>
  <si>
    <t>Connected_Fill_Word(Current)</t>
  </si>
  <si>
    <t>'Traffic_Performance'</t>
  </si>
  <si>
    <t>Connected_FEC</t>
  </si>
  <si>
    <t>'FCIP_Health'</t>
  </si>
  <si>
    <t>'Fabric_Performance_Impact'</t>
  </si>
  <si>
    <t>'CPU_Usage'</t>
  </si>
  <si>
    <t>'Memory_Usage'</t>
  </si>
  <si>
    <t>Connected_Enet_IP_Addr</t>
  </si>
  <si>
    <t>'Flash_Usage'</t>
  </si>
  <si>
    <t>'Brocade_model_name'</t>
  </si>
  <si>
    <t>'HPE_model_name'</t>
  </si>
  <si>
    <t>'Generation'</t>
  </si>
  <si>
    <t>'Description'</t>
  </si>
  <si>
    <t>'Recommended_Firmware'</t>
  </si>
  <si>
    <t>In_Attenuation_dB</t>
  </si>
  <si>
    <t>'HW_Supported'</t>
  </si>
  <si>
    <t>Out_Attenuation_dB</t>
  </si>
  <si>
    <t>re_names</t>
  </si>
  <si>
    <t>comp_values</t>
  </si>
  <si>
    <t>columns</t>
  </si>
  <si>
    <t>not imported</t>
  </si>
  <si>
    <t>import</t>
  </si>
  <si>
    <t>just for informarion</t>
  </si>
  <si>
    <t>names for compile and match vars</t>
  </si>
  <si>
    <t>regular expression can be changed</t>
  </si>
  <si>
    <t>params names used to form list with req values</t>
  </si>
  <si>
    <t>additional params to add in dictionary</t>
  </si>
  <si>
    <t>column names for dataframe</t>
  </si>
  <si>
    <t>parameters list checked with re</t>
  </si>
  <si>
    <t>name can be changed but not order</t>
  </si>
  <si>
    <t>but not order</t>
  </si>
  <si>
    <t>from dictionary with all values</t>
  </si>
  <si>
    <t>with all values. Added manualy (like configname)</t>
  </si>
  <si>
    <t>to save in excel file</t>
  </si>
  <si>
    <t>blue params name can't be chaged</t>
  </si>
  <si>
    <t>or added as combination of ble params like syslog</t>
  </si>
  <si>
    <t>column names can be changed</t>
  </si>
  <si>
    <t xml:space="preserve">red params names can be changed but only </t>
  </si>
  <si>
    <t xml:space="preserve">red params names can be changed but only with </t>
  </si>
  <si>
    <t>but order has to be same as in param</t>
  </si>
  <si>
    <t>with param add column</t>
  </si>
  <si>
    <t>param column</t>
  </si>
  <si>
    <t>new params names could be added</t>
  </si>
  <si>
    <t>nsshow_port</t>
  </si>
  <si>
    <t>^ *([\w ]+): +([\w:\[\]" /.()+-]+)</t>
  </si>
  <si>
    <t>Share Area: No</t>
  </si>
  <si>
    <t>'maps.actions'</t>
  </si>
  <si>
    <t>'fabric.ops.BBCredit'</t>
  </si>
  <si>
    <t>'fabric.ops.E_D_TOV'</t>
  </si>
  <si>
    <t>'fabric.ops.R_A_TOV'</t>
  </si>
  <si>
    <t>'fabric.ops.bladeFault_on_hwErrlevel'</t>
  </si>
  <si>
    <t>'fabric.ops.dataFieldSize'</t>
  </si>
  <si>
    <t>'fabric.ops.max_hops'</t>
  </si>
  <si>
    <t>'fabric.ops.mode.fcpProbeDisable'</t>
  </si>
  <si>
    <t>'fabric.ops.mode.isolate'</t>
  </si>
  <si>
    <t>'fabric.ops.mode.longDistance'</t>
  </si>
  <si>
    <t>'fabric.ops.mode.noClassF'</t>
  </si>
  <si>
    <t>'fabric.ops.mode.pidFormat'</t>
  </si>
  <si>
    <t>'fabric.ops.mode.tachyonCompat'</t>
  </si>
  <si>
    <t>'fabric.ops.mode.unicastOnly'</t>
  </si>
  <si>
    <t>'fabric.ops.mode.useCsCtl'</t>
  </si>
  <si>
    <t>'fabric.ops.vc.class.2'</t>
  </si>
  <si>
    <t>'fabric.ops.vc.class.3'</t>
  </si>
  <si>
    <t>'fabric.ops.vc.config'</t>
  </si>
  <si>
    <t>'fabric.ops.vc.linkCtrl'</t>
  </si>
  <si>
    <t>'fabric.ops.vc.multicast'</t>
  </si>
  <si>
    <t>'fabric.ops.wan_tov'</t>
  </si>
  <si>
    <t>'FC_Router_BB_Fabric_ID'</t>
  </si>
  <si>
    <t>d4:46:49</t>
  </si>
  <si>
    <t>((NetApp) [\w-]+?) +\(?([\w/-]+)?\)?</t>
  </si>
  <si>
    <t>NetApp FAS8200 ()</t>
  </si>
  <si>
    <t>NetApp FC Target Adapter (LPe16000) :2a</t>
  </si>
  <si>
    <t>latency_dma_ts</t>
  </si>
  <si>
    <t>lgc_stats_clear_ts</t>
  </si>
  <si>
    <t>d4:85:64</t>
  </si>
  <si>
    <t>80:c1:6e</t>
  </si>
  <si>
    <t>98:4b:e1</t>
  </si>
  <si>
    <t>HP|LIB CTRL</t>
  </si>
  <si>
    <t>a0:1c:8d</t>
  </si>
  <si>
    <t>09:82:98</t>
  </si>
  <si>
    <t>09:82:88</t>
  </si>
  <si>
    <t>04:bd:70</t>
  </si>
  <si>
    <t>09:83:8f</t>
  </si>
  <si>
    <t>09:81:8f</t>
  </si>
  <si>
    <t>09:81:98</t>
  </si>
  <si>
    <t>09:81:88</t>
  </si>
  <si>
    <t>c4:44:7d</t>
  </si>
  <si>
    <t>09:81:8d</t>
  </si>
  <si>
    <t>09:81:9d</t>
  </si>
  <si>
    <t>09:82:8d</t>
  </si>
  <si>
    <t>09:82:9d</t>
  </si>
  <si>
    <t>189</t>
  </si>
  <si>
    <t>Brocade G730</t>
  </si>
  <si>
    <t>HPE SN6750B Fibre Channel Switch</t>
  </si>
  <si>
    <t>64 Gb 128-port switch</t>
  </si>
  <si>
    <t>SWITCHCMD /fabos/link_sbin/license --show:</t>
  </si>
  <si>
    <t>Expiry Date 12/14/2020</t>
  </si>
  <si>
    <t>License has expired</t>
  </si>
  <si>
    <t>^ *([A-z\d/ ()-]+)[ .]*$</t>
  </si>
  <si>
    <t>Expired_license</t>
  </si>
  <si>
    <t>Истекшие лицензии</t>
  </si>
  <si>
    <t>Expiry_date</t>
  </si>
  <si>
    <t>Лицензии со сроком</t>
  </si>
  <si>
    <t>Storage_model_quantity</t>
  </si>
  <si>
    <t>Количество моделей систем хранения в зоне</t>
  </si>
  <si>
    <t>licenseport</t>
  </si>
  <si>
    <t>chassiscmd_licenseport</t>
  </si>
  <si>
    <t>^(CHASSISCMD|SWITCHCMD)? *(/fabos/link_sbin/)?licenseport +--show:</t>
  </si>
  <si>
    <t>CHASSISCMD /fabos/link_sbin/licenseport --show:</t>
  </si>
  <si>
    <t>48 port assignments are provisioned for use in this switch:</t>
  </si>
  <si>
    <t>^ +(.+)</t>
  </si>
  <si>
    <t>24 port assignments are provisioned by the base switch allowance</t>
  </si>
  <si>
    <t>licenseport_columns</t>
  </si>
  <si>
    <t>native_speed</t>
  </si>
  <si>
    <t>Native_(N?\d+G?)</t>
  </si>
  <si>
    <t>^(N?\d+G?)$</t>
  </si>
  <si>
    <t>Long_Distance_(\w+)</t>
  </si>
  <si>
    <t>distance</t>
  </si>
  <si>
    <t>distance += +(\d+ (K|k)m)</t>
  </si>
  <si>
    <t>([0-9a-f]{2}:){7}[0-9a-f]{2}</t>
  </si>
  <si>
    <t>link_quantity</t>
  </si>
  <si>
    <t>(?:ISL|IFL|Link)_\d+</t>
  </si>
  <si>
    <t>enclosure_slot</t>
  </si>
  <si>
    <t>(Enclosure .+?) slot (\d+)</t>
  </si>
  <si>
    <r>
      <rPr>
        <b/>
        <sz val="11"/>
        <color rgb="FF000000"/>
        <rFont val="Calibri"/>
        <family val="2"/>
        <charset val="204"/>
      </rPr>
      <t>SAN topogy</t>
    </r>
    <r>
      <rPr>
        <sz val="11"/>
        <color rgb="FF000000"/>
        <rFont val="Calibri"/>
        <family val="2"/>
        <charset val="1"/>
      </rPr>
      <t xml:space="preserve"> regex patterns </t>
    </r>
  </si>
  <si>
    <t>toplogy_regex</t>
  </si>
  <si>
    <t>fabric.dport.onDemand</t>
  </si>
  <si>
    <t>fabric.dynamic_dport_feature</t>
  </si>
  <si>
    <t>D_Port Dynamic</t>
  </si>
  <si>
    <t>D_Port On-demand</t>
  </si>
  <si>
    <t>fabric.name</t>
  </si>
  <si>
    <t>domain_name</t>
  </si>
  <si>
    <t>nubis-h02.dtln.ru</t>
  </si>
  <si>
    <t>o1-fgesx-sm01.virt.local</t>
  </si>
  <si>
    <t>.dtln.ru</t>
  </si>
  <si>
    <t>.virt.local</t>
  </si>
  <si>
    <t>^ *([\w \[\]-]+): +(.+) *$</t>
  </si>
  <si>
    <t>FCoE</t>
  </si>
  <si>
    <t>SCR_code</t>
  </si>
  <si>
    <t>FC4 Features [FCP]</t>
  </si>
  <si>
    <t>FC4 Features [FC-NVMe]</t>
  </si>
  <si>
    <t>^ *([UNL]{1,2}) +([0-9a-f]{6}); +([\d,]+);(([0-9a-f]{2}:){7}[0-9a-f]{2});(([0-9a-f]{2}:){7}[0-9a-f]{2}); *([\w]+)?$|(^real [\w.]+)|(\*\* SS CMD END \*\*)$</t>
  </si>
  <si>
    <t>v4c2h01.ost.virt.local</t>
  </si>
  <si>
    <t>.ost.virt.local</t>
  </si>
  <si>
    <t>bl7-vdi.vdi.dtln.ru</t>
  </si>
  <si>
    <t>.vdi.dtln.ru</t>
  </si>
  <si>
    <t>Supportsave files names patterns</t>
  </si>
  <si>
    <t>(([\w-]+?)(?:_(FID\d+))?(-(?:[0-9]{1,3}\.){3}[0-9]{1,3})?)-(S\d(?:cp)?)(?:-DP\d+)?-\d+.[\w.]+$</t>
  </si>
  <si>
    <t>((.+S\d+(?:cp)?)-\d+)\.SSHOW_SYS.(?:txt.)?gz$</t>
  </si>
  <si>
    <t>dr03as07-c1-21-10.74.135.9-S6cp-202201311339.SSHOW_SYS.txt.gz</t>
  </si>
  <si>
    <t>fc-km7-1-S0cp-202105191934.SSHOW_SYS.txt.gz</t>
  </si>
  <si>
    <t>san102-ost-10.221.5.181-S0cp-DP1-202211141609.SSHOW_AMP.txt.gz</t>
  </si>
  <si>
    <t>san59-ostp_FID128-10.30.140.19-S0cp-202212161355.AMS_MAPS_LOG.txt.gz</t>
  </si>
  <si>
    <t>san59-ostp-10.30.140.19-S0cp-202212161353.SSHOW_SYS.txt.gz</t>
  </si>
  <si>
    <t>ssave_section_filename</t>
  </si>
  <si>
    <t>sshow_sys_section</t>
  </si>
  <si>
    <t>single_filename</t>
  </si>
  <si>
    <t>^(.+?.\.(\w+))\.(?:tar|txt).gz</t>
  </si>
  <si>
    <t>amps_maps_section</t>
  </si>
  <si>
    <t>^(.+?)\.AMS_MAPS_LOG\.(?:tar|txt).gz</t>
  </si>
  <si>
    <t>dr03as07-c1-21_FID128-10.74.135.9-S6cp-202201311347.AMS_MAPS_LOG.txt.gz</t>
  </si>
  <si>
    <t>dr03as07-c1-21_FID128-10.74.135.9-S6cp-202201311347</t>
  </si>
  <si>
    <t>^(\[Chassis Configuration End\])|(real\s[\w.]+)|(\*\* SS CMD END \*\*)$</t>
  </si>
  <si>
    <t>((.+(S\d+(?:cp)?))-\d+)\.SSHOW_SYS.(?:txt.)?gz$</t>
  </si>
  <si>
    <t>switchname_sshow_sys</t>
  </si>
  <si>
    <t>^([\w-]+)(-\d{1,3}.\d{1,3}.\d{1,3}.\d{1,3})?-S\d(?:cp)?-\d+.SSHOW_SYS.(?:txt.)?gz$</t>
  </si>
  <si>
    <t>dr03as07-c1-21</t>
  </si>
  <si>
    <t>1. dr03as07-c1-21-10.74.135.9-S6cp-202201311339; 2. dr03as07-c1-21-10.74.135.9-S6cp; 3. S6cp</t>
  </si>
  <si>
    <t>dr03as07-c1-21_FID128-10.74.135.9-S6cp-202201311347.AMS_MAPS_LOG 2.AMS_MAPS_LOG</t>
  </si>
  <si>
    <t>Порт_коммутатора</t>
  </si>
  <si>
    <t>Device_Rack</t>
  </si>
  <si>
    <t>Стойка</t>
  </si>
  <si>
    <t>DLS Disabled</t>
  </si>
  <si>
    <t>c1s07.rostrud.pcloud</t>
  </si>
  <si>
    <t>.rostrud.pcloud</t>
  </si>
  <si>
    <t>f4:b7:8d</t>
  </si>
  <si>
    <t>a4:16:e7</t>
  </si>
  <si>
    <t>57-1000487-01</t>
  </si>
  <si>
    <t>f0:33:e5</t>
  </si>
  <si>
    <t>68:e2:09</t>
  </si>
  <si>
    <t>20:65:8e</t>
  </si>
  <si>
    <t>i114s005kvm.hw.i114.infra.loc</t>
  </si>
  <si>
    <t>.hw.i114.infra.loc</t>
  </si>
  <si>
    <t>^(CHASSISCMD|SWITCHCMD)? *(/fabos/link_sbin/)?license +--show +-port:</t>
  </si>
  <si>
    <t>CHASSISCMD /fabos/link_sbin/license --show -port:</t>
  </si>
  <si>
    <t>chassiscmd_licenseshowport</t>
  </si>
  <si>
    <t>^(CHASSISCMD|SWITCHCMD)? *(/fabos/link_sbin/)?license +--show:</t>
  </si>
  <si>
    <t>CHASSISCMD /fabos/link_sbin/license --show:</t>
  </si>
  <si>
    <t>^(?: +License +(?:features|Capacity) +: +(.+))|(?: {20,}(.+))</t>
  </si>
  <si>
    <t>license_fos9x</t>
  </si>
  <si>
    <t>chassiscmd_license_fos9x</t>
  </si>
  <si>
    <t>License features        : Ports on Demand</t>
  </si>
  <si>
    <t>License Capacity        : 24</t>
  </si>
  <si>
    <t>Fabric Vision and IO Insight</t>
  </si>
  <si>
    <t>licenses_fos9x</t>
  </si>
  <si>
    <t>1: 36-&gt; 36 10:00:d8:1f:cc:40:16:20   4 deskew 1 E-Port    MASTER</t>
  </si>
  <si>
    <t>^ *(?:(\d+):)? *(\d+)-&gt; *(\d+) *([0-9a-f:]+) *(\d+) *deskew *(\d+)(?: +E-Port)? *(MASTER)?$</t>
  </si>
  <si>
    <t>LinkId =   3, out port =  38, rem port =  38, cost = 500, type = 1</t>
  </si>
  <si>
    <t>^LinkId *= *(\d+), *out *port *= *(\d+), *rem *port *= *(\d+), *cost *= *(\d+)(?:, *bw *= *(\d+G))?, *type *= *\d+</t>
  </si>
  <si>
    <t>HIL-1517</t>
  </si>
  <si>
    <t>Indicates that temperatures in the system have fallen and the fan speed is being decreased.</t>
  </si>
  <si>
    <t>Run the fanShow command to verify all the fans are working properly.</t>
  </si>
  <si>
    <t>Fan speed of all the fan FRUs decreasing to &lt;Fan RPM&gt; RPM as per environmental specifications.</t>
  </si>
  <si>
    <t>HIL-1516</t>
  </si>
  <si>
    <t>Fan speed of all the fan FRUs is increasing to &lt;Fan RPM&gt; RPM as per environmental
specifications.</t>
  </si>
  <si>
    <t>Indicates that temperatures in the system have risen and the fan speed is being increased.</t>
  </si>
  <si>
    <t>Run the fanShow command to verify all the fans are working properly. Make sure that the area is well-ventilated and that the room temperature is within the operational range of your switch. Refer to the hardware reference manual for your switch for the operational temperature range.</t>
  </si>
  <si>
    <t>ALL_PORTS(PORT_BANDWIDTH==OVERSUBSCRIBED)</t>
  </si>
  <si>
    <t>Oversubscription is a condition that occurs when the aggregated ingress throughput rate for a port or link is greater than its egress bandwidth. The oversubscription conditions occur in the SAN configurations, generally, as a result of the SAN design specific issues - Link Speed Mismatch, Fan-In and Fan-Out Ratio</t>
  </si>
  <si>
    <t>Проверить Link Speed Mismatch и Fan-In Fan-Out Ratio</t>
  </si>
  <si>
    <t>90:17:3f</t>
  </si>
  <si>
    <t>ALL_F_PORTS(RX/min&gt;95.00)</t>
  </si>
  <si>
    <t>The percentage of port bandwidth being used by received, incoming (RX) traffic.</t>
  </si>
  <si>
    <t>The percentage of port bandwidth being used by transmitted, outgoing (TX) traffic during timeperiod.</t>
  </si>
  <si>
    <t>The percentage of port bandwidth being used by received, incoming (RX) traffic during timeperiod.</t>
  </si>
  <si>
    <t>Port has been marked as Slow Drain Device. Indicates that the quarantine action for the port due to Severe Latency / Frame Loss has been initiated. Traffic destined to this port will be moved to low QoS Virtual Channel at source.</t>
  </si>
  <si>
    <t>Tracks the number of zone changes. Because zoning is a security provision, frequent zone changes may indicate a security breach or weakness. Zone change messages occur whenever there is a change in zone configurations.</t>
  </si>
  <si>
    <t>Describes the severe latency condition on port transmit queues. MAPS monitors for Class 3 frame timeout errors (C3TXTO) on individual ports and when a timeout is detected on a port, MAPS reports them by setting the port state to IO_FRAME_LOSS</t>
  </si>
  <si>
    <t>The number of times an invalid transmission word (ITW) error occurs on a port. This means that a word did not transmit successfully, resulting in encoding errors. Invalid word messages usually indicate a hardware problem.</t>
  </si>
  <si>
    <t>Telnet violations which occur when a Telnet connection request reaches a secure switch from an unauthorized IP address.</t>
  </si>
  <si>
    <t>The number of times an invalid cyclic redundancy check (CRC) error occurs on a port or a frame that computes to an invalid CRC. Invalid CRCs can represent noise on the network. Such frames are recoverable by retransmission. Invalid CRCs can indicate a potential hardware problem.</t>
  </si>
  <si>
    <t>The ports on which the number of link resets (LRs) exceeds the specified threshold value.</t>
  </si>
  <si>
    <t>Indicates that above-normal errors are observed in hardware that may or may not impact the data traffic. When this error is observed persistently, power cycle the specified blade using the slotPowerOff and slotPowerOn commands. If the problem persists, replace the blade.</t>
  </si>
  <si>
    <t>The percentage of storage space used, calculated by comparing the percentage of flash space consumed with the configured high threshold value.</t>
  </si>
  <si>
    <t>Tracks the number of times that an E_Port or VE_Port goes down. E_Ports and VE_Ports go down each time you remove a cable or an SFP transceiver (where there are SFP transceiver failures or transient errors).</t>
  </si>
  <si>
    <t>00:e0:db</t>
  </si>
  <si>
    <t>30:25:b5</t>
  </si>
  <si>
    <t>e8:13:6e</t>
  </si>
  <si>
    <t>^.+?(\.(?:[\w\d-]+\.)+(?:ru|local|com|pcloud|loc|cloud))</t>
  </si>
  <si>
    <t>cmp01.stg.dataline.cloud</t>
  </si>
  <si>
    <t>.stg.dataline.cloud</t>
  </si>
  <si>
    <t>Available_licensed</t>
  </si>
  <si>
    <t>Свободных портов с лицензией</t>
  </si>
  <si>
    <t>09:84:8f</t>
  </si>
  <si>
    <t>09:82:8f</t>
  </si>
  <si>
    <t>AN-1010</t>
  </si>
  <si>
    <t>Severe latency bottleneck detected at slot &lt;slot number&gt; port &lt;port number within lot number&gt;.</t>
  </si>
  <si>
    <t>Indicates credit loss at the specified port, a downstream port, or a very high latency device at the edge of the fabric.</t>
  </si>
  <si>
    <t>ALL_HOST_PORTS(LOSS_SIGNAL/min&gt;5)</t>
  </si>
  <si>
    <t>ALL_OTHER_F_PORTS(LOSS_SIGNAL/min&gt;5)</t>
  </si>
  <si>
    <t>Brocade 300</t>
  </si>
  <si>
    <t>transceiver_speed_max</t>
  </si>
  <si>
    <t>(?:\d+,)+?(\d+_\w+)</t>
  </si>
  <si>
    <t xml:space="preserve">	16_Gbps</t>
  </si>
  <si>
    <t>Тип трансивера</t>
  </si>
  <si>
    <t>Transceiver_form_factor</t>
  </si>
  <si>
    <t>Link_failure_percentage</t>
  </si>
  <si>
    <t>Loss_of_sync_percentage</t>
  </si>
  <si>
    <t>Loss_of_sig_percentage</t>
  </si>
  <si>
    <t>er_rx_c3_timeout_percentage</t>
  </si>
  <si>
    <t>er_tx_c3_timeout_percentage</t>
  </si>
  <si>
    <t>er_unroutable_percentage</t>
  </si>
  <si>
    <t>er_unreachable_percentage</t>
  </si>
  <si>
    <t>er_other_discard_percentage</t>
  </si>
  <si>
    <t>er_enc_in_percentage</t>
  </si>
  <si>
    <t>er_enc_out_percentage</t>
  </si>
  <si>
    <t>er_crc_percentage</t>
  </si>
  <si>
    <t>er_bad_os_percentage</t>
  </si>
  <si>
    <t>er_bad_eof_percentage</t>
  </si>
  <si>
    <t>Интервал мощности входящего сигнала, дБм</t>
  </si>
  <si>
    <t>Интервал мощности исходящего сигнала, дБм</t>
  </si>
  <si>
    <t>Интервал мощности входящего сигнала, мкВт</t>
  </si>
  <si>
    <t>Интервал мощности исходящего сигнала, мкВт</t>
  </si>
  <si>
    <t>Интервал температуры, С</t>
  </si>
  <si>
    <t>Интервал времени работы, лет</t>
  </si>
  <si>
    <t>RX_Power_dBm_interval</t>
  </si>
  <si>
    <t>TX_Power_dBm_interval</t>
  </si>
  <si>
    <t>RX_Power_uW_interval</t>
  </si>
  <si>
    <t>TX_Power_uW_interval</t>
  </si>
  <si>
    <t>Temperature_Centigrade_interval</t>
  </si>
  <si>
    <t>Pwr_On_Time_years_interval</t>
  </si>
  <si>
    <t>float_str</t>
  </si>
  <si>
    <t>-?[\d\.]+</t>
  </si>
  <si>
    <t>313.4</t>
  </si>
  <si>
    <t>Link_failure % от stat_frx</t>
  </si>
  <si>
    <t>Loss_of_sync % от stat_frx</t>
  </si>
  <si>
    <t>Loss_of_sig % от stat_frx</t>
  </si>
  <si>
    <t>er_enc_in % от stat_frx</t>
  </si>
  <si>
    <t>er_crc % от stat_frx</t>
  </si>
  <si>
    <t>er_bad_eof % от stat_frx</t>
  </si>
  <si>
    <t>er_enc_out % от stat_frx</t>
  </si>
  <si>
    <t>er_bad_os % от stat_frx</t>
  </si>
  <si>
    <t>er_rx_c3_timeout % от stat_frx</t>
  </si>
  <si>
    <t>er_tx_c3_timeout % от stat_frx</t>
  </si>
  <si>
    <t>er_unroutable % от stat_frx</t>
  </si>
  <si>
    <t>er_unreachable % от stat_frx</t>
  </si>
  <si>
    <t>er_other_discard % от stat_frx</t>
  </si>
  <si>
    <t>State transitions</t>
  </si>
  <si>
    <t>State_transitions</t>
  </si>
  <si>
    <t>RX Power</t>
  </si>
  <si>
    <t>TX Power</t>
  </si>
  <si>
    <t>RX_Power</t>
  </si>
  <si>
    <t>TX_Power</t>
  </si>
  <si>
    <t>Pwr On Time</t>
  </si>
  <si>
    <t>Pwr_On_Time</t>
  </si>
  <si>
    <t>Время работы</t>
  </si>
  <si>
    <t>Статистика_SFP_перевод_eng</t>
  </si>
  <si>
    <t>Статистика_SFP_перевод_ru</t>
  </si>
  <si>
    <t>Transceiver_quantity</t>
  </si>
  <si>
    <t>Supported SFP</t>
  </si>
  <si>
    <t>Unsupported SFP</t>
  </si>
  <si>
    <t>Unknown SFP</t>
  </si>
  <si>
    <t>Distance 10 km</t>
  </si>
  <si>
    <t>Distance 25 km</t>
  </si>
  <si>
    <t>Distance 40 km</t>
  </si>
  <si>
    <t>Максимальное расстояние SFP 10 км</t>
  </si>
  <si>
    <t>Максимальное расстояние SFP 25 км</t>
  </si>
  <si>
    <t>Максимальное расстояние SFP 40 км</t>
  </si>
  <si>
    <t>Поддерживаемые SFP</t>
  </si>
  <si>
    <t>Неподдерживаемые SFP</t>
  </si>
  <si>
    <t>Неизвестные SFP</t>
  </si>
  <si>
    <t>No_Module</t>
  </si>
  <si>
    <t>Портов с SFP</t>
  </si>
  <si>
    <t>No SFP module</t>
  </si>
  <si>
    <t>Портов без SFP (PortPhys 'No_Module')</t>
  </si>
  <si>
    <t>^Port \d+ does not use an SFP or is disabled!$|No SFP installed in port</t>
  </si>
  <si>
    <t>no_sfp_installed</t>
  </si>
  <si>
    <t>no_sfp_usage</t>
  </si>
  <si>
    <t xml:space="preserve">Port 1 does not use an SFP or is disabled! </t>
  </si>
  <si>
    <t>(No SFP installed in port) +\d+</t>
  </si>
  <si>
    <t>No SFP installed in port</t>
  </si>
  <si>
    <t>Port does not use an SFP or is disabled</t>
  </si>
  <si>
    <t>^(Port) \d+( does not use an SFP or is disabled)!</t>
  </si>
  <si>
    <t>Licensed_wo_SFP</t>
  </si>
  <si>
    <t>Портов с лицензией без SFP</t>
  </si>
  <si>
    <t>v9.1.1b</t>
  </si>
  <si>
    <t>v8.2.3d</t>
  </si>
  <si>
    <t>^(?:[0-9a-f]{2}:)+?([0-9a-f])([0-9a-f]):(?:[0-9a-f]{2}:){5}[0-9a-f]{2}</t>
  </si>
  <si>
    <t>wwn_2nd_octet</t>
  </si>
  <si>
    <t>20:02:04:8c:16:ed:98:49</t>
  </si>
  <si>
    <t>wwn_8th_octet</t>
  </si>
  <si>
    <t>(?:[0-9a-f]{2}:){7}([0-9a-f])([0-9a-f])</t>
  </si>
  <si>
    <t>4, 9</t>
  </si>
  <si>
    <t>0, 2</t>
  </si>
  <si>
    <t>N(\d+)FC(\d+)</t>
  </si>
  <si>
    <t>N1FC5</t>
  </si>
  <si>
    <t>1, 5</t>
  </si>
  <si>
    <t>infinidat_ctrl_port</t>
  </si>
  <si>
    <t>f</t>
  </si>
  <si>
    <t>PROFILE FOR STORAGE ARRAY: +(.+?) +\((.+?)\)</t>
  </si>
  <si>
    <t>storage_profile</t>
  </si>
  <si>
    <t>PROFILE FOR STORAGE ARRAY:  hw01-ost (2023-2-13 16:23:39)</t>
  </si>
  <si>
    <t xml:space="preserve"> *(.+?) *: *(.+)</t>
  </si>
  <si>
    <t>Product Model: Dorado6000 V3</t>
  </si>
  <si>
    <t>Os Type:Vmware ESX</t>
  </si>
  <si>
    <t>^ +License-+</t>
  </si>
  <si>
    <t>license_header</t>
  </si>
  <si>
    <t>License------------------------------</t>
  </si>
  <si>
    <t>^ +ID: +CTE.+?MGMT</t>
  </si>
  <si>
    <t>mgmt_eth_id</t>
  </si>
  <si>
    <t>ID: CTE0.SMM0.MGMT</t>
  </si>
  <si>
    <t>ID: CTE0.A.MGMT</t>
  </si>
  <si>
    <t>ID: CTE0.B.MGMT</t>
  </si>
  <si>
    <t xml:space="preserve"> +IPv4 +Address\: +(.+)</t>
  </si>
  <si>
    <t>ip_addr</t>
  </si>
  <si>
    <t>IPv4 Address: 10.221.5.155</t>
  </si>
  <si>
    <t>IPv4 Gateway: 10.221.5.1</t>
  </si>
  <si>
    <t>MAC: 80:e1:bf:08:04:69</t>
  </si>
  <si>
    <t>gateway_mac</t>
  </si>
  <si>
    <t xml:space="preserve"> +(IPv4 +Gateway|MAC)\: +.+</t>
  </si>
  <si>
    <t>^FC +Port-+</t>
  </si>
  <si>
    <t>^ +FC +Port-+</t>
  </si>
  <si>
    <t>^ +ID\: +[\w\.]+</t>
  </si>
  <si>
    <t>storage_grouped_fcports_header</t>
  </si>
  <si>
    <t>controller_grouped_fcports_header</t>
  </si>
  <si>
    <t>port_id</t>
  </si>
  <si>
    <t>FC Port--------------------------------</t>
  </si>
  <si>
    <t xml:space="preserve">    FC Port----------------------------------</t>
  </si>
  <si>
    <t>ID: CTE0.IOM.H2.P0</t>
  </si>
  <si>
    <t>^ *(SAS|ETH) +Port-+</t>
  </si>
  <si>
    <t>SAS Port--------------------------------</t>
  </si>
  <si>
    <t>ETH Port--------------------------------</t>
  </si>
  <si>
    <t>^\s*$</t>
  </si>
  <si>
    <t>(^\s*$)|(sfp +info)</t>
  </si>
  <si>
    <t>blank_line</t>
  </si>
  <si>
    <t>blank_or_sfpinfo</t>
  </si>
  <si>
    <t xml:space="preserve">    sfp info:</t>
  </si>
  <si>
    <t>^Host-+</t>
  </si>
  <si>
    <t>^(Host +Group|Power)-+</t>
  </si>
  <si>
    <t>host_header</t>
  </si>
  <si>
    <t>hostgroup_or_power_header</t>
  </si>
  <si>
    <t>Host--------------------------------</t>
  </si>
  <si>
    <t>Host Group--------------------------------</t>
  </si>
  <si>
    <t>Power--------------------------------</t>
  </si>
  <si>
    <t>sas_eth_port_header</t>
  </si>
  <si>
    <t>^(\d+) +([\w\.-]+) +([\w\.-]+) +([\w\.-]+) +([\w\.-]+) +([\w\.-]+) +([\w\.-]+) +([\w\.-]*) +</t>
  </si>
  <si>
    <t>host_id_name_line</t>
  </si>
  <si>
    <t xml:space="preserve">0 ESXI02 VMware_ESX  -- -- Balanced  --                                                    </t>
  </si>
  <si>
    <t xml:space="preserve">6 Host17 VMware_ESX  -- --  Balanced  --  Normal               </t>
  </si>
  <si>
    <t xml:space="preserve">59 n02.s3.dtln.ru  Linux  -- -- Asymmetric No                               </t>
  </si>
  <si>
    <t>^ +Host +\d+-+</t>
  </si>
  <si>
    <t>host_id_header</t>
  </si>
  <si>
    <t xml:space="preserve">    Host 0--------------------------------</t>
  </si>
  <si>
    <t>^FC +Initiator-+</t>
  </si>
  <si>
    <t>^SFP-+</t>
  </si>
  <si>
    <t>fcinitiator_header</t>
  </si>
  <si>
    <t>sfp_header</t>
  </si>
  <si>
    <t>FC Initiator--------------------------------</t>
  </si>
  <si>
    <t>SFP--------------------------------</t>
  </si>
  <si>
    <t>^(\w+) +([\d-]+) +([\w-]+) +([\w-]+) +([\w-]+) +([\w-]+) +([\w-]+)</t>
  </si>
  <si>
    <t>host_id_fcinitiator_line</t>
  </si>
  <si>
    <t xml:space="preserve">100000109b261ebe 0 Offline Default  -- -- --                      </t>
  </si>
  <si>
    <t xml:space="preserve">100000109b89e8c0 72 Online Default -- -- --                     </t>
  </si>
  <si>
    <t>^ +WWN\: *([\w]+)</t>
  </si>
  <si>
    <t>hostport_wwn</t>
  </si>
  <si>
    <t>WWN</t>
  </si>
  <si>
    <t xml:space="preserve">     WWN: 0x210034800d6e7f22</t>
  </si>
  <si>
    <r>
      <rPr>
        <b/>
        <sz val="11"/>
        <color rgb="FF000000"/>
        <rFont val="Calibri"/>
        <family val="2"/>
        <charset val="204"/>
      </rPr>
      <t>Huawei OceanSto</t>
    </r>
    <r>
      <rPr>
        <sz val="11"/>
        <color rgb="FF000000"/>
        <rFont val="Calibri"/>
        <family val="2"/>
        <charset val="1"/>
      </rPr>
      <t>r parsing regex patterns</t>
    </r>
  </si>
  <si>
    <t>config_datetime</t>
  </si>
  <si>
    <t>Product Serial Number</t>
  </si>
  <si>
    <t>Product Model</t>
  </si>
  <si>
    <t>Product Version</t>
  </si>
  <si>
    <t>Patch Version</t>
  </si>
  <si>
    <t>System Location</t>
  </si>
  <si>
    <t>System Description</t>
  </si>
  <si>
    <t>Master CPU Usage</t>
  </si>
  <si>
    <t>Number of total controllers</t>
  </si>
  <si>
    <t>Number of normal controllers</t>
  </si>
  <si>
    <t>Number of disk domains</t>
  </si>
  <si>
    <t>Number of storage pools</t>
  </si>
  <si>
    <t>System max LUN number</t>
  </si>
  <si>
    <t>Total number of LUN</t>
  </si>
  <si>
    <t>Cache low water marker</t>
  </si>
  <si>
    <t>Cache high water marker</t>
  </si>
  <si>
    <t>RUN TIME</t>
  </si>
  <si>
    <t>storage summary section end</t>
  </si>
  <si>
    <t>mgmt interface section start</t>
  </si>
  <si>
    <t>storage profile and summary section start</t>
  </si>
  <si>
    <t>oceanstor details extract</t>
  </si>
  <si>
    <t>IP_Address extract</t>
  </si>
  <si>
    <t>mgmt interface section end</t>
  </si>
  <si>
    <t>Product_Serial_Number</t>
  </si>
  <si>
    <t>Product_Model</t>
  </si>
  <si>
    <t>Product_Version</t>
  </si>
  <si>
    <t>Patch_Version</t>
  </si>
  <si>
    <t>System_Location</t>
  </si>
  <si>
    <t>System_Description</t>
  </si>
  <si>
    <t>Master_CPU_Usage</t>
  </si>
  <si>
    <t>Number_of_total_controllers</t>
  </si>
  <si>
    <t>Number_of_normal_controllers</t>
  </si>
  <si>
    <t>Number_of_disk_domains</t>
  </si>
  <si>
    <t>Number_of_storage_pools</t>
  </si>
  <si>
    <t>System_max_LUN_number</t>
  </si>
  <si>
    <t>Total_number_of_LUN</t>
  </si>
  <si>
    <t>Cache_low_water_marker</t>
  </si>
  <si>
    <t>Cache_high_water_marker</t>
  </si>
  <si>
    <t>Run_time</t>
  </si>
  <si>
    <t>fcport_params</t>
  </si>
  <si>
    <t>fcport_columns</t>
  </si>
  <si>
    <t>controller fcports section start (several in configfile)</t>
  </si>
  <si>
    <t>storage fcports section start (single in configfile)</t>
  </si>
  <si>
    <t>port id (port parameters section start)</t>
  </si>
  <si>
    <t>ID</t>
  </si>
  <si>
    <t>Health Status</t>
  </si>
  <si>
    <t>Running Status</t>
  </si>
  <si>
    <t>SFP Status</t>
  </si>
  <si>
    <t>Working Rate(Mbps)</t>
  </si>
  <si>
    <t>Configured Speed(Mbps)</t>
  </si>
  <si>
    <t>Max Speed(Mbps)</t>
  </si>
  <si>
    <t>Role</t>
  </si>
  <si>
    <t>Health_Status</t>
  </si>
  <si>
    <t>Running_Status</t>
  </si>
  <si>
    <t>SFP_Status</t>
  </si>
  <si>
    <t>Working_Rate(Mbps)</t>
  </si>
  <si>
    <t>Configured_Speed(Mbps)</t>
  </si>
  <si>
    <t>Max_Speed(Mbps)</t>
  </si>
  <si>
    <t>fcports group section end (both for storage and controller type)</t>
  </si>
  <si>
    <t>fcport details section end (sfp details section)</t>
  </si>
  <si>
    <t>controller fcport details extract</t>
  </si>
  <si>
    <t>hostname and hostid extract</t>
  </si>
  <si>
    <t>Id</t>
  </si>
  <si>
    <t>Os Type</t>
  </si>
  <si>
    <t>Ip</t>
  </si>
  <si>
    <t>host_params</t>
  </si>
  <si>
    <t>Operating System</t>
  </si>
  <si>
    <t>IP</t>
  </si>
  <si>
    <t>ALUA MODE</t>
  </si>
  <si>
    <t>HyperMetro Path Optimized</t>
  </si>
  <si>
    <t>ALUA_MODE</t>
  </si>
  <si>
    <t>HyperMetro_Path_Optimized</t>
  </si>
  <si>
    <t>host and host fcport details extract</t>
  </si>
  <si>
    <t>Name: v4c2h01.dtln.ru</t>
  </si>
  <si>
    <t>Id: 0</t>
  </si>
  <si>
    <t>hosts section start</t>
  </si>
  <si>
    <t>host (single) section start</t>
  </si>
  <si>
    <t>host details (single) section end</t>
  </si>
  <si>
    <t>single host wwn extract</t>
  </si>
  <si>
    <t>Os_Type</t>
  </si>
  <si>
    <t>Host_IP</t>
  </si>
  <si>
    <t>hosts section end</t>
  </si>
  <si>
    <t>Host Id</t>
  </si>
  <si>
    <t>Multipath Type</t>
  </si>
  <si>
    <t>Failover Mode</t>
  </si>
  <si>
    <t>Path Type</t>
  </si>
  <si>
    <t>Special Mode Type</t>
  </si>
  <si>
    <t>host ports section start</t>
  </si>
  <si>
    <t>hostid and host fcport extract</t>
  </si>
  <si>
    <t>Multipath_Type</t>
  </si>
  <si>
    <t>Failover_Mode</t>
  </si>
  <si>
    <t>Path_Type</t>
  </si>
  <si>
    <t>Special_Mode_Type</t>
  </si>
  <si>
    <t>host ports section end</t>
  </si>
  <si>
    <t>hostid_name_columns</t>
  </si>
  <si>
    <t>hostid_fcinitiator_columns</t>
  </si>
  <si>
    <t>ID: CTE0.A.IOM0.P0</t>
  </si>
  <si>
    <t>WWN: 2000048c16ed9856</t>
  </si>
  <si>
    <t>Running Status: Link Up</t>
  </si>
  <si>
    <t>Health Status: Normal</t>
  </si>
  <si>
    <t>Role: INI and TGT</t>
  </si>
  <si>
    <t>Working Rate(Mbps): 16000</t>
  </si>
  <si>
    <t>Max Speed(Mbps): 32000</t>
  </si>
  <si>
    <t>Configured Speed(Mbps): Auto-Adapt</t>
  </si>
  <si>
    <t>SFP Status: Online</t>
  </si>
  <si>
    <t>Type: Host Port</t>
  </si>
  <si>
    <t>Point Release</t>
  </si>
  <si>
    <t>Device_portSpeed_max</t>
  </si>
  <si>
    <t>Максимальная скорость порта устройства, Гб/c</t>
  </si>
  <si>
    <t>CTE\d\.([A-Z])\.IOM(\d+)\.P(\d+)</t>
  </si>
  <si>
    <t>CTE0.A.IOM0.P0</t>
  </si>
  <si>
    <t>CTE0.B.IOM0.P2</t>
  </si>
  <si>
    <t>CTE0.A.H0</t>
  </si>
  <si>
    <t>CTE0.B.H2</t>
  </si>
  <si>
    <t>CTE\d\.([A-Z])\.H(\d+)</t>
  </si>
  <si>
    <t>A, 0, 0</t>
  </si>
  <si>
    <t>B, 0, 2</t>
  </si>
  <si>
    <t>A, 0</t>
  </si>
  <si>
    <t>B, 2</t>
  </si>
  <si>
    <t>CTE0.A7.P0</t>
  </si>
  <si>
    <t>CTE0.B7.P0</t>
  </si>
  <si>
    <t>CTE0.B6.P1</t>
  </si>
  <si>
    <t>CTE\d\.([A-Z])(\d+)\.P(\d+)</t>
  </si>
  <si>
    <t>oceanstor_ctrl_port</t>
  </si>
  <si>
    <t>oceanstor_ctrl_iom_port</t>
  </si>
  <si>
    <t>oceanstor_ctrl_slot_port</t>
  </si>
  <si>
    <t>A, 7, 0</t>
  </si>
  <si>
    <t>B, 7, 0</t>
  </si>
  <si>
    <t>B, 6, 1</t>
  </si>
  <si>
    <t>CTE0.IOM.L11.P1</t>
  </si>
  <si>
    <t>CTE0.IOM.L2.P0</t>
  </si>
  <si>
    <t>CTE0.IOM.H11.P0</t>
  </si>
  <si>
    <t>CTE0.IOM.H2.P0</t>
  </si>
  <si>
    <t>oceanstor_iom_port</t>
  </si>
  <si>
    <t>L11, 1</t>
  </si>
  <si>
    <t>L2, 0</t>
  </si>
  <si>
    <t>H11, 0</t>
  </si>
  <si>
    <t>H2, 0</t>
  </si>
  <si>
    <t>CTE\d\.IOM\.((?:H|L)\d+)\.P(\d+)</t>
  </si>
  <si>
    <t>^Relation Of Host, LUN And Port-+</t>
  </si>
  <si>
    <t>relation_hostid_port_lun_header</t>
  </si>
  <si>
    <t>relation hostid hostport lun section start</t>
  </si>
  <si>
    <t>Relation Of Host, LUN And Port----------</t>
  </si>
  <si>
    <t xml:space="preserve">0              CTE0.A.IOM0.P0,CTE0.A.IOM0.P1,CTE0.A.IOM0.P2,CTE0.A.IOM0.P3,CTE0.B.IOM0.P0,CTE0.B.IOM0.P1,CTE0.B.IOM0.P2,CTE0.B.IOM0.P3    0,1,2,11,12,25,26,27,28,29,30,31,32,33,34 </t>
  </si>
  <si>
    <t xml:space="preserve">3             --                                                                      0,1,2,11,12,25,26,27,28,29,30,31,32,33,34    </t>
  </si>
  <si>
    <t>Host ID</t>
  </si>
  <si>
    <t>Port ID List</t>
  </si>
  <si>
    <t>LUN ID List</t>
  </si>
  <si>
    <t>relation hostid, hostport, lunid extract</t>
  </si>
  <si>
    <t>relation_hostid_port_lun_line</t>
  </si>
  <si>
    <t>hostid_ctrlport_relation_columns</t>
  </si>
  <si>
    <t>Port_ID_List</t>
  </si>
  <si>
    <t>LUN_ID_List</t>
  </si>
  <si>
    <t>^[A-Z][\w ]+-+</t>
  </si>
  <si>
    <t>section_header</t>
  </si>
  <si>
    <t>new section header</t>
  </si>
  <si>
    <t>Disk Domain Info -------</t>
  </si>
  <si>
    <t>File_system Info-----------</t>
  </si>
  <si>
    <t>^(\d+) +([\w\.,-]+) +([\d,]*)</t>
  </si>
  <si>
    <t>LUN_quantity</t>
  </si>
  <si>
    <t>Количество LUN-ов</t>
  </si>
  <si>
    <t>MARVEL</t>
  </si>
  <si>
    <t>f4:c7:aa</t>
  </si>
  <si>
    <t>Ports are available in this switch</t>
  </si>
  <si>
    <t>SFP-based ports are available in this switch</t>
  </si>
  <si>
    <t>QSFP-based ports are available in this switch</t>
  </si>
  <si>
    <t>Port assignments are provisioned for use in this switch</t>
  </si>
  <si>
    <t>SFP-based port assignments are provisioned for use in this switch</t>
  </si>
  <si>
    <t>QSFP-based port assignments are provisioned for use in this switch</t>
  </si>
  <si>
    <t>Ports are assigned to the base switch allowance or installed licenses</t>
  </si>
  <si>
    <t>SFP-based ports are assigned to the base switch allowance or installed licenses</t>
  </si>
  <si>
    <t>QSFP-based ports are assigned to the base switch allowance or installed licenses</t>
  </si>
  <si>
    <t>License assignments are held by offline ports</t>
  </si>
  <si>
    <t>License reservations are still available for use by unassigned ports</t>
  </si>
  <si>
    <t>Available_licensed_ports</t>
  </si>
  <si>
    <t>POD_method</t>
  </si>
  <si>
    <t>Лицензии_портов_перевод_eng</t>
  </si>
  <si>
    <t>Лицензии_портов_перевод_ru</t>
  </si>
  <si>
    <t>Портов в режиме "Online"</t>
  </si>
  <si>
    <t>SFP портов</t>
  </si>
  <si>
    <t>QSFP портов</t>
  </si>
  <si>
    <t>Свободных (неназначенных) лицензий</t>
  </si>
  <si>
    <t>Метод POD</t>
  </si>
  <si>
    <t>% занятых портов с лицензией</t>
  </si>
  <si>
    <t>Offline портов с назначенной лицензией</t>
  </si>
  <si>
    <t>Установлено лицензий портов</t>
  </si>
  <si>
    <t>Установлено лицензий SFP портов</t>
  </si>
  <si>
    <t>Установлено лицензий QSFP портов</t>
  </si>
  <si>
    <t>Not_licensed_ports</t>
  </si>
  <si>
    <t>Online_from_licensed_%</t>
  </si>
  <si>
    <t>ports_in_this_switch</t>
  </si>
  <si>
    <t>(\d+) +(.+in +this +switch)</t>
  </si>
  <si>
    <t>48 ports are available in this switch</t>
  </si>
  <si>
    <t>48 SFP-based ports are available in this switch</t>
  </si>
  <si>
    <t>16 QSFP-based ports are available in this switch</t>
  </si>
  <si>
    <t>48, ports are available in this switch</t>
  </si>
  <si>
    <t>48, SFP-based ports are available in this switch</t>
  </si>
  <si>
    <t>16, QSFP-based ports are available in this switch</t>
  </si>
  <si>
    <t>ports_assigned</t>
  </si>
  <si>
    <t>48 SFP-based ports are assigned to the base switch allowance or installed licenses:</t>
  </si>
  <si>
    <t>0 QSFP-based ports are assigned to the base switch allowance or installed licenses:</t>
  </si>
  <si>
    <t>72 ports are assigned to the base switch allowance or installed licenses:</t>
  </si>
  <si>
    <t>72, ports are assigned to the base switch allowance or installed licenses</t>
  </si>
  <si>
    <t>48, SFP-based ports are assigned to the base switch allowance or installed licenses</t>
  </si>
  <si>
    <t>0, QSFP-based ports are assigned to the base switch allowance or installed licenses</t>
  </si>
  <si>
    <t>48 SFP-based port assignments are provisioned for use in this switch:</t>
  </si>
  <si>
    <t>0 QSFP-based port assignments are provisioned for use in this switch:</t>
  </si>
  <si>
    <t>72 port assignments are provisioned for use in this switch:</t>
  </si>
  <si>
    <t>72, port assignments are provisioned for use in this switch</t>
  </si>
  <si>
    <t>48, SFP-based port assignments are provisioned for use in this switch</t>
  </si>
  <si>
    <t>0, QSFP-based port assignments are provisioned for use in this switch</t>
  </si>
  <si>
    <t>license_reservations</t>
  </si>
  <si>
    <t>(\d+) +(license +(?:reservations?|assignments?).+)</t>
  </si>
  <si>
    <t>0 license reservations are still available for use by unassigned ports</t>
  </si>
  <si>
    <t>7 license assignments are held by offline ports (indicated by *)</t>
  </si>
  <si>
    <t>1 license reservation is still available for use by unassigned ports</t>
  </si>
  <si>
    <t>1 license assignment is held by an offline port (indicated by *)</t>
  </si>
  <si>
    <t>24 license reservations are still available for use by unassigned ports</t>
  </si>
  <si>
    <t>1, license reservation is still available for use by unassigned ports</t>
  </si>
  <si>
    <t>0, license reservations are still available for use by unassigned ports</t>
  </si>
  <si>
    <t>24, license reservations are still available for use by unassigned ports</t>
  </si>
  <si>
    <t>1, license assignment is held by an offline port (indicated by *)</t>
  </si>
  <si>
    <t>7, license assignments are held by offline ports (indicated by *)</t>
  </si>
  <si>
    <t>(.+?) +POD +method</t>
  </si>
  <si>
    <t>pod_method</t>
  </si>
  <si>
    <t>Dynamic POD method is in use</t>
  </si>
  <si>
    <t>Static POD method is in use</t>
  </si>
  <si>
    <t>Dynamic</t>
  </si>
  <si>
    <t>Static</t>
  </si>
  <si>
    <t>inicated_by</t>
  </si>
  <si>
    <t>(.+?) +\(indicated by \*\)</t>
  </si>
  <si>
    <t>license assignment is held by an offline port (indicated by *)</t>
  </si>
  <si>
    <t>license assignments are held by offline ports (indicated by *)</t>
  </si>
  <si>
    <t>license assignment is held by an offline port</t>
  </si>
  <si>
    <t>license assignments are held by offline ports</t>
  </si>
  <si>
    <t>license_installed</t>
  </si>
  <si>
    <t>(.+) +license is installed</t>
  </si>
  <si>
    <t>Full POD license is installed</t>
  </si>
  <si>
    <t>1 POD license is installed</t>
  </si>
  <si>
    <t>Ports on Demand license is installed</t>
  </si>
  <si>
    <t>No Q-Flex Ports on Demand license is installed</t>
  </si>
  <si>
    <t>Full POD</t>
  </si>
  <si>
    <t>1 POD</t>
  </si>
  <si>
    <t>Ports on Demand</t>
  </si>
  <si>
    <t>No Q-Flex Ports on Demand</t>
  </si>
  <si>
    <t>License_installed</t>
  </si>
  <si>
    <t>Лицензии</t>
  </si>
  <si>
    <t>Всего портов (licenseport)</t>
  </si>
  <si>
    <t>Всего портов (portshow)</t>
  </si>
  <si>
    <t>(\d+) +(.+to +the +base +switch +allowance +or +installed licenses *[a-z ]*)</t>
  </si>
  <si>
    <t>Назначено лицензий портов</t>
  </si>
  <si>
    <t>Назначено лицензий SFP портов</t>
  </si>
  <si>
    <t>Назначено лицензий QSFP портов</t>
  </si>
  <si>
    <t>Available_ports</t>
  </si>
  <si>
    <t>Свободных портов</t>
  </si>
  <si>
    <t>% занятых портов</t>
  </si>
  <si>
    <t>CHASSISCMD /fabos/cliexec/chassisshow:</t>
  </si>
  <si>
    <t>SWITCHCMD /fabos/cliexec/chassisshow:</t>
  </si>
  <si>
    <t>Slot|Unit|Chassis Factory Serial Num|(real\s[\w.]+)|(\*\* SS CMD END \*\*)</t>
  </si>
  <si>
    <t>SW BLADE  Slot: 3</t>
  </si>
  <si>
    <t>CP BLADE  Slot: 1</t>
  </si>
  <si>
    <t>CORE BLADE  Slot: 5</t>
  </si>
  <si>
    <t>POWER SUPPLY  Unit</t>
  </si>
  <si>
    <t>FAN  Unit: 1</t>
  </si>
  <si>
    <t>WWN  Unit: 1</t>
  </si>
  <si>
    <t>Chassis Factory Serial Num: EZB4051N024</t>
  </si>
  <si>
    <t>CHASSIS/WWN  Unit</t>
  </si>
  <si>
    <t>real 0m3.889s</t>
  </si>
  <si>
    <t>** SS CMD END **</t>
  </si>
  <si>
    <t>sscmd_chassisshow</t>
  </si>
  <si>
    <t>sscmd_chassisshow_unit_end</t>
  </si>
  <si>
    <t>^(.+?)\: +(.+)</t>
  </si>
  <si>
    <t>chassisshow_slot_unit</t>
  </si>
  <si>
    <t>^(.+?) +(Slot|Unit): +(\d+)</t>
  </si>
  <si>
    <t>Chassis Factory Serial.+?: +(.+)</t>
  </si>
  <si>
    <t>chassis_factory_serial</t>
  </si>
  <si>
    <t>Chassis Factory Serial Num: EZA1929Q053</t>
  </si>
  <si>
    <t>System AirFlow</t>
  </si>
  <si>
    <t>Fan Direction</t>
  </si>
  <si>
    <t>Part Num</t>
  </si>
  <si>
    <t>Serial Num</t>
  </si>
  <si>
    <t>Factory Part Num</t>
  </si>
  <si>
    <t>Factory Serial Num</t>
  </si>
  <si>
    <t>Power Consume Factor</t>
  </si>
  <si>
    <t>Power Usage</t>
  </si>
  <si>
    <t>Power Source</t>
  </si>
  <si>
    <t>PS Voltage input</t>
  </si>
  <si>
    <t>Manufacture</t>
  </si>
  <si>
    <t>Update</t>
  </si>
  <si>
    <t>Time Alive</t>
  </si>
  <si>
    <t>Time Awake</t>
  </si>
  <si>
    <t>Chassis Factory Serial Num</t>
  </si>
  <si>
    <t>Slot_Unit_name</t>
  </si>
  <si>
    <t>Slot_Unit</t>
  </si>
  <si>
    <t>Slot_Unit_number</t>
  </si>
  <si>
    <t>chassisshow_params</t>
  </si>
  <si>
    <t>chassisshow_columns</t>
  </si>
  <si>
    <t>System_AirFlow</t>
  </si>
  <si>
    <t>Fan_Direction</t>
  </si>
  <si>
    <t>Part_Num</t>
  </si>
  <si>
    <t>Serial_Num</t>
  </si>
  <si>
    <t>Factory_Part_Num</t>
  </si>
  <si>
    <t>Factory_Serial_Num</t>
  </si>
  <si>
    <t>Power_Consume_Factor</t>
  </si>
  <si>
    <t>Power_Usage</t>
  </si>
  <si>
    <t>Power_Source</t>
  </si>
  <si>
    <t>PS_Voltage_input</t>
  </si>
  <si>
    <t>Time_Alive</t>
  </si>
  <si>
    <t>Time_Awake</t>
  </si>
  <si>
    <t>Chassis_Factory_Serial_Num</t>
  </si>
  <si>
    <t>System AirFlow:  Non-portside Intake</t>
  </si>
  <si>
    <t>Fan Direction:  Non-portside Intake</t>
  </si>
  <si>
    <t>Part Num:       CONTRX0000772</t>
  </si>
  <si>
    <t>Serial Num:     BRCFME1916S03L</t>
  </si>
  <si>
    <t>Factory Part Num:       40-1001393-03</t>
  </si>
  <si>
    <t>Factory Serial Num:     FME1916S03L</t>
  </si>
  <si>
    <t>ID:             EMC0000CA</t>
  </si>
  <si>
    <t>Power Source:  AC</t>
  </si>
  <si>
    <t>PS Voltage input: 228.50 V</t>
  </si>
  <si>
    <t>Day:  5  Month:  4  Year: 2019</t>
  </si>
  <si>
    <t>Day: 25  Month:  3  Year: 2021</t>
  </si>
  <si>
    <t>Time Alive:             272 days</t>
  </si>
  <si>
    <t>Time Awake:             255 days</t>
  </si>
  <si>
    <t>Power Consume Factor:  -245W</t>
  </si>
  <si>
    <t>Power Usage:           -172W</t>
  </si>
  <si>
    <t>param_value_pair</t>
  </si>
  <si>
    <t>Fan Direction:  Reverse (Non-portside Intake)</t>
  </si>
  <si>
    <t>OEM_ID</t>
  </si>
  <si>
    <t>factory_sn</t>
  </si>
  <si>
    <t>Заводской серийный номер</t>
  </si>
  <si>
    <t>OEM ID</t>
  </si>
  <si>
    <t>3c:a3:7e</t>
  </si>
  <si>
    <t>^ +(Mapping View +INFO|Host Group INFO</t>
  </si>
  <si>
    <t xml:space="preserve">  Host Group INFO:</t>
  </si>
  <si>
    <t xml:space="preserve">  Mapping View INFO:</t>
  </si>
  <si>
    <t>host_mapping_group_header</t>
  </si>
  <si>
    <t>^ +(Mapping View|Host Group) +INFO</t>
  </si>
  <si>
    <t>Режим Logical switch</t>
  </si>
  <si>
    <t>8G-ER-D340-BR1</t>
  </si>
  <si>
    <t>16G-ER-D340-BR2</t>
  </si>
  <si>
    <t>Gen5, Gen6, Gen7</t>
  </si>
  <si>
    <t>DIR PRINCIPAL</t>
  </si>
  <si>
    <t>dir_8slot_principal</t>
  </si>
  <si>
    <t>DIR_4SLOT PRINCIPAL</t>
  </si>
  <si>
    <t>dir_4slot_principal</t>
  </si>
  <si>
    <t>ENTP PRINCIPAL</t>
  </si>
  <si>
    <t>sw_enterprise_principal</t>
  </si>
  <si>
    <t>MID PRINCIPAL</t>
  </si>
  <si>
    <t>sw_middle_principal</t>
  </si>
  <si>
    <t>EXT PRINCIPAL</t>
  </si>
  <si>
    <t>ENTRY PRINCIPAL</t>
  </si>
  <si>
    <t>sw_entry_principal</t>
  </si>
  <si>
    <t>EMB PRINCIPAL</t>
  </si>
  <si>
    <t>sw_embedded_principal</t>
  </si>
  <si>
    <t>sw_embedded_ag</t>
  </si>
  <si>
    <t>58:f9:87</t>
  </si>
  <si>
    <t>chassisshow        :</t>
  </si>
  <si>
    <t>^(CHASSISCMD|SWITCHCMD)? *(/fabos/cliexec/)?chassisshow *:</t>
  </si>
  <si>
    <t>sw_middle_ag</t>
  </si>
  <si>
    <t>sw_entry_ag</t>
  </si>
  <si>
    <t>flow_sid_did</t>
  </si>
  <si>
    <t>Flow +\(SID=0x(\w+),DID=0x(\w+),Host Port=(\d+)\)</t>
  </si>
  <si>
    <t>Flow (SID=0x40d00,DID=0x10902,Host Port=13), Condition=sys_flow_monitor(RD_STATUS_TIME/10SEC&gt;100000), Current Value:[RD_STATUS_TIME, 108318 Microseconds], RuleName=defRD_STATUS_TIME_100000, Dashboard Category=IO Latency</t>
  </si>
  <si>
    <t>sid did port</t>
  </si>
  <si>
    <t>40d00 10902 13</t>
  </si>
  <si>
    <t>sid_switchName</t>
  </si>
  <si>
    <t>sid_Index_slot_port</t>
  </si>
  <si>
    <t>sid_alias</t>
  </si>
  <si>
    <t>sid_deviceType</t>
  </si>
  <si>
    <t>did_switchName</t>
  </si>
  <si>
    <t>did_Index_slot_port</t>
  </si>
  <si>
    <t>sid Имя коммутатора</t>
  </si>
  <si>
    <t>sid Порт коммутатора</t>
  </si>
  <si>
    <t>sid_portState</t>
  </si>
  <si>
    <t>sid_portType</t>
  </si>
  <si>
    <t>sid_speed</t>
  </si>
  <si>
    <t>sid Псевдоним</t>
  </si>
  <si>
    <t>sid_Device_Host_Name_Port</t>
  </si>
  <si>
    <t>sid Статус порта</t>
  </si>
  <si>
    <t>sid Тип порта</t>
  </si>
  <si>
    <t>sid Скорость, Гб/c</t>
  </si>
  <si>
    <t>sid Имя/порт устройства</t>
  </si>
  <si>
    <t>sid Класс устройства</t>
  </si>
  <si>
    <t>did Имя коммутатора</t>
  </si>
  <si>
    <t>did Порт коммутатора</t>
  </si>
  <si>
    <t>did_portState</t>
  </si>
  <si>
    <t>did Статус порта</t>
  </si>
  <si>
    <t>did_portType</t>
  </si>
  <si>
    <t>did Тип порта</t>
  </si>
  <si>
    <t>did_speed</t>
  </si>
  <si>
    <t>did Скорость, Гб/c</t>
  </si>
  <si>
    <t>did_Device_Host_Name_Port</t>
  </si>
  <si>
    <t>did Имя/порт устройства</t>
  </si>
  <si>
    <t>did_alias</t>
  </si>
  <si>
    <t>did Псевдоним</t>
  </si>
  <si>
    <t>did_deviceType</t>
  </si>
  <si>
    <t>did Класс устройства</t>
  </si>
  <si>
    <t>sys_flow_monitor(WR_STATUS_TIME/10SEC&gt;100000)</t>
  </si>
  <si>
    <t>IO Latency</t>
  </si>
  <si>
    <t>Describes the total completion time for the write I/O request.</t>
  </si>
  <si>
    <t>Проверить загрузку did порта</t>
  </si>
  <si>
    <t>Message_repeated_times</t>
  </si>
  <si>
    <t>repeated_times</t>
  </si>
  <si>
    <t>repeated +(\d+) +time</t>
  </si>
  <si>
    <t>Previous message repeated 3 time(s)</t>
  </si>
  <si>
    <t>Message_triggered_times</t>
  </si>
  <si>
    <t>triggered_times</t>
  </si>
  <si>
    <t>triggered +(\d+) +time</t>
  </si>
  <si>
    <t>Rule defRD_1stDATA_TIME_90000 triggered 4 times in 10 min and last trigger time</t>
  </si>
  <si>
    <t>Rule defALL_HOST_PORTSTX_95 triggered 4 times in 1 hour and last trigger time</t>
  </si>
  <si>
    <t>Message_occured_quantity_unique</t>
  </si>
  <si>
    <t>Message_occured_quantity_multiple</t>
  </si>
  <si>
    <t>sys_flow_monitor(RD_STATUS_TIME/10SEC&gt;100000)</t>
  </si>
  <si>
    <t>Describes the total completion time for the read I/O request.</t>
  </si>
  <si>
    <t>sys_flow_monitor(RD_1stDATA_TIME/10SEC&gt;90000)</t>
  </si>
  <si>
    <t>Describes the total completion time for the read violations percentage.</t>
  </si>
  <si>
    <t>Количество событий за месяц с триггерами</t>
  </si>
  <si>
    <t>Количество событий за месяц без триггеров</t>
  </si>
  <si>
    <t>switch.dynamicPortname</t>
  </si>
  <si>
    <t>switch.dynamicPortnameFormat</t>
  </si>
  <si>
    <t>Dynamic Portname</t>
  </si>
  <si>
    <t>Dynamic Portname Format</t>
  </si>
  <si>
    <t>b0:08:75</t>
  </si>
  <si>
    <t>HIL-1505</t>
  </si>
  <si>
    <t>Fan speed of all the fan FRUs is increasing to &lt;Fan RPM&gt; RPM as per environmental specifications.</t>
  </si>
  <si>
    <t>Indicates that temperatures in the system have risen above the warning threshold and that the fan speed is being increased.</t>
  </si>
  <si>
    <t>HIL-1511</t>
  </si>
  <si>
    <t>High temperature (&lt;measured temperature&gt; C), fan speed increasing per environmental specifications.</t>
  </si>
  <si>
    <t>TS-1002</t>
  </si>
  <si>
    <t>External Clock Server 178.20.234.206 used instead of 95.131.31.206: locl: 0x45585400 remote: 0x45585400</t>
  </si>
  <si>
    <t>&lt;Type of clock server used&gt; used instead of &lt;Type of clock server configured&gt;: locl: 0x&lt;Reference ID of LOCL&gt; remote: 0x&lt;Reference ID of external clock server&gt;.</t>
  </si>
  <si>
    <t>Indicates the fabric time synchronization was sourced from an alternate clock server instead of the configured clock server. The clock server used can be one of the following type: LOCL - Local clock on the principal or primary FCS switch, External - External Network Time Protocol (NTP) server address configured. This message may be logged during temporary operational issues such as IP network connection issues to the external clock server or the fabric is configured for external time synchronization but the principal or primary fabric configuration server (FCS) does not support the feature. If the message does not recur, it can be ignored.</t>
  </si>
  <si>
    <t>Execute the tsClockServer command to verify that the principal or primary FCS switch has the clock server IP configured correctly, and the configured clock server is accessible to the switch and functional. If the principal or primary FCS does not support the feature, either choose a different switch for the role or reset the clock server to LOCL.</t>
  </si>
  <si>
    <t>(.+ used instead of [\w\. ]+?): +(locl: +\w+ +remote: +\w+)</t>
  </si>
  <si>
    <t>clock_server_used_insted</t>
  </si>
  <si>
    <t>External Clock Server 178.20.234.206 used instead of LOCL 95.131.31.206, locl: 0x45585400 remote: 0x45585400</t>
  </si>
  <si>
    <t>^\bsensor\b +(\d+): \(([A-Za-z ]+) *\) +is +([\w ]+)(?:, *[a-z]+ +is +)?(\d+)? ?(\w+)?$</t>
  </si>
  <si>
    <t>sensor 7: (Fan ) is below minimum, speed is 2537 RPM</t>
  </si>
  <si>
    <t>Frame du detected, tx port 32 rx port 21, sid 51500, did 30200, timestamp 2023-12-12 16:11:03 .</t>
  </si>
  <si>
    <t>AN-1014</t>
  </si>
  <si>
    <t>Frame unroute detected, tx port 0 rx port 32, sid fffffd, did 12000, timestamp 2023-11-14 16:11:25 .</t>
  </si>
  <si>
    <t>Frame &lt;frametype&gt; detected, tx port &lt;tx slotport string&gt; rx port &lt;rx slotport string&gt;, sid &lt;sid&gt;, did &lt;did&gt;, timestamp
&lt;timestamp&gt;.</t>
  </si>
  <si>
    <t>Indicates a C3 discard frame.</t>
  </si>
  <si>
    <t>Check the Brocade Fabric OS Troubleshooting and Diagnostics User Guide for troubleshooting information or contact your switch service provider if the message persists.</t>
  </si>
  <si>
    <t>Портов без SFP (Transceiver_Name 'No SFP installed')</t>
  </si>
  <si>
    <t>Портов без SFP (Transceiver_Name 'Port does not use an SFP or is disabled')</t>
  </si>
  <si>
    <t>Портов без SFP (Transceiver_Name 'Port does not use an SFP or is disabled, No SFP installed')</t>
  </si>
  <si>
    <t>part_num</t>
  </si>
  <si>
    <t>Продуктовый номер</t>
  </si>
  <si>
    <t>Domain 11, Port index 20, All devices zoned with the slow drain device 0x0b1400 have been unquarantined</t>
  </si>
  <si>
    <t>Domain 11, Port index 27, All devices zoned with the slow drain device 0x0b1b00 have been unquarantined</t>
  </si>
  <si>
    <t>Domain portIndex PID</t>
  </si>
  <si>
    <t>domainid_portidx_pid</t>
  </si>
  <si>
    <t>(Domain +(\d+), +Port +index +\d+.+?0x(.+?) +.+)</t>
  </si>
  <si>
    <t>NS-1017</t>
  </si>
  <si>
    <t>NS-1018</t>
  </si>
  <si>
    <t>&lt;Local or Remote&gt; Domain &lt;Domain ID of slow drain device&gt;, Port index &lt;User Port Index of slow drain device&gt;, All devices zoned with the slow drain device 0x&lt;PID of slow drain device&gt; have been quarantined.</t>
  </si>
  <si>
    <t>&lt;Local or Remote&gt; Domain &lt;Domain ID of slow drain device&gt;, Port index &lt;User Port Index of slow drain device&gt;, All devices zoned with the slow drain device 0x&lt;PID of slow drain device&gt; have been unquarantined.</t>
  </si>
  <si>
    <t>Indicates that all the devices that are zoned with the slow drain device have been quarantined.</t>
  </si>
  <si>
    <t>Indicates that all the devices that are zoned with the slow drain device have been unquarantined.</t>
  </si>
  <si>
    <t>To check all affected devices zoned to the slow drain device please use the CLI nszonemember.</t>
  </si>
  <si>
    <t>Condition=ALL_PORTS(DEV_LATENCY_IMPACT==IO_PERF_IMPACT), Current Value:[DEV_LATENCY_IMPACT, IO_PERF_IMPACT, (54 ms Frame Delay) ], RuleName=defALL_PORTS_IO_PERF_IMPACT_UNQUAR, Dashboard Category=Fabric Performance Impact.</t>
  </si>
  <si>
    <t>Condition=ALL_HOST_PORTS(TX/min&gt;95.00), Current Value:[TX, 97.45 %], Rule defALL_HOST_PORTSTX_95 triggered 21 times in 1 hour and last trigger time Thu Feb  1 22:33:27 2024, Dashboard Category=Fabric Performance Impact</t>
  </si>
  <si>
    <t>Condition=(.+?), +Current Value:\[(.+?)\], Rule (\w+).+?Dashboard Category=(.+?)\.*$</t>
  </si>
  <si>
    <t>Condition=(.+?), +Current Value:\[(.+?)\], Rule ?(?:Name=)?(\w+).+?Dashboard Category=(.+?)\.*$</t>
  </si>
  <si>
    <t>Rule_name</t>
  </si>
  <si>
    <t>Правило</t>
  </si>
  <si>
    <t>^.+?(\.(?:[\w\d-]+\.)*(?:ru|local|com|pcloud|loc|cloud|virtlocal))</t>
  </si>
  <si>
    <t>v4c1h05.ost.virtlocal</t>
  </si>
  <si>
    <t>.ost.virtlocal</t>
  </si>
  <si>
    <t>76:09:ea</t>
  </si>
  <si>
    <t>28:fb:ae</t>
  </si>
  <si>
    <t>90:f9:b7</t>
  </si>
  <si>
    <t>6c:d1:e5</t>
  </si>
  <si>
    <t>host name (single) section start</t>
  </si>
  <si>
    <t>host_name_header</t>
  </si>
  <si>
    <t>^ +Host\(.+?\)-+</t>
  </si>
  <si>
    <t xml:space="preserve">    Host(c1s03.delimobil.pcloud)--------------------------------</t>
  </si>
  <si>
    <t>host name (single) section details extract</t>
  </si>
  <si>
    <t xml:space="preserve">        Id: 31</t>
  </si>
  <si>
    <t xml:space="preserve">        Name: c1s32.delimobil.pcloud</t>
  </si>
  <si>
    <t xml:space="preserve">        Operating System: VMware_ESX</t>
  </si>
  <si>
    <t xml:space="preserve">        IP Address: --</t>
  </si>
  <si>
    <t xml:space="preserve">        Location: --</t>
  </si>
  <si>
    <t xml:space="preserve">        ALUA MODE: Balanced</t>
  </si>
  <si>
    <t xml:space="preserve">        HyperMetro Path Optimized: --</t>
  </si>
  <si>
    <t xml:space="preserve">        Health Status: Normal</t>
  </si>
  <si>
    <t xml:space="preserve">    Host(c1s32.delimobil.pcloud)--------------------------------</t>
  </si>
  <si>
    <t>hostid_name_params</t>
  </si>
  <si>
    <t>ALL_F_PORTS(TX/hour&gt;90.00)</t>
  </si>
  <si>
    <t>e8:a6:60</t>
  </si>
  <si>
    <t>c8:84:cf</t>
  </si>
  <si>
    <t>^(\d{4}/\d{2}/\d{2}-\d{2}:\d{2}:\d{2}) *(?:\(\w*\))*, +\[(.+?)], (\d+), (.+?), (\w+), ([\w.-]+), +(.+?). *$</t>
  </si>
  <si>
    <t>2025/01/31-12:01:17 (MSK), [NS-1024], 541678, FID 128, INFO, n3-g620-011-vc5-f1,  Flow from device 0x0b0000 to quarantined device 0x031b00 of Remote domain 3 has been successfully quarantined.</t>
  </si>
  <si>
    <t>2025/01/31-15:27:30 (MSK), [MAPS-1005], 51869, FID 128 | PORT 0/40, WARNING, n1-g620-023-nord152-f1, ISL to san09-nord port 40, E-Port 40, Condition=ALL_PORTS(PORT_BANDWIDTH/NONE==OVERSUBSCRIBED), Current Value:[PORT_BANDWIDTH, OVERSUBSCRIBED], Rule defALL_PORTS_OVERSUBSCRIBED triggered 3 times in 15 min and last trigger time Fri Jan 31 15:14:00 2025, Dashboard Categor                                    y=Fabric Performance Impact.</t>
  </si>
  <si>
    <t>c0:e1:be</t>
  </si>
  <si>
    <t>44:9b:c1</t>
  </si>
  <si>
    <t>e0:da:90</t>
  </si>
  <si>
    <t>98:48:74</t>
  </si>
  <si>
    <t>1c:e6:39</t>
  </si>
  <si>
    <t>flow_from_to_quarantined device</t>
  </si>
  <si>
    <t>^Flow from device 0x(\w+) to quarantined device 0x(\w+).+</t>
  </si>
  <si>
    <t>Flow from device 0x181700 to quarantined device 0x180f00 of Local domain 24 has been successfully quarantined</t>
  </si>
  <si>
    <t>Flow from device 0x181000 to quarantined device 0x180f00 of Local domain 24 has been successfully unquarantined</t>
  </si>
  <si>
    <t xml:space="preserve">0x181700 0x180f00 </t>
  </si>
  <si>
    <t>flow sid did un(quarantined)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</si>
</sst>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Calibri"/>
      <family val="2"/>
      <charset val="1"/>
    </font>
    <font>
      <b/>
      <sz val="11"/>
      <color rgb="FF000000"/>
      <name val="Calibri"/>
      <family val="2"/>
      <charset val="1"/>
    </font>
    <font>
      <u/>
      <sz val="11"/>
      <color rgb="FF0000FF"/>
      <name val="Calibri"/>
      <family val="2"/>
      <charset val="1"/>
    </font>
    <font>
      <b/>
      <sz val="11"/>
      <name val="Calibri"/>
      <family val="2"/>
      <charset val="1"/>
    </font>
    <font>
      <sz val="10"/>
      <name val="Calibri"/>
      <family val="2"/>
      <charset val="204"/>
    </font>
    <font>
      <sz val="10"/>
      <name val="Calibri"/>
      <family val="2"/>
      <charset val="1"/>
    </font>
    <font>
      <sz val="11"/>
      <color rgb="FFCE9178"/>
      <name val="Consolas"/>
      <family val="3"/>
      <charset val="1"/>
    </font>
    <font>
      <sz val="11"/>
      <color rgb="FF000000"/>
      <name val="Arial"/>
      <family val="2"/>
      <charset val="1"/>
    </font>
    <font>
      <b/>
      <sz val="11"/>
      <color rgb="FF000000"/>
      <name val="Arial"/>
      <family val="2"/>
      <charset val="1"/>
    </font>
    <font>
      <b/>
      <sz val="11"/>
      <color rgb="FF000000"/>
      <name val="Calibri"/>
      <family val="2"/>
      <charset val="204"/>
    </font>
    <font>
      <sz val="11"/>
      <color rgb="FF000000"/>
      <name val="Calibri"/>
      <family val="2"/>
      <charset val="204"/>
    </font>
    <font>
      <sz val="10"/>
      <name val="Calibri"/>
      <family val="2"/>
      <charset val="204"/>
    </font>
    <font>
      <sz val="11"/>
      <color rgb="FFCE9178"/>
      <name val="Consolas"/>
      <family val="3"/>
      <charset val="204"/>
    </font>
    <font>
      <sz val="10"/>
      <name val="Calibri"/>
      <family val="2"/>
      <charset val="204"/>
    </font>
    <font>
      <sz val="11"/>
      <name val="Calibri"/>
      <family val="2"/>
      <charset val="204"/>
    </font>
    <font>
      <sz val="8"/>
      <name val="Calibri"/>
      <family val="2"/>
      <charset val="1"/>
    </font>
  </fonts>
  <fills count="74">
    <fill>
      <patternFill patternType="none"/>
    </fill>
    <fill>
      <patternFill patternType="gray125"/>
    </fill>
    <fill>
      <patternFill patternType="solid">
        <fgColor rgb="FFFF0000"/>
        <bgColor rgb="FF9C0006"/>
      </patternFill>
    </fill>
    <fill>
      <patternFill patternType="solid">
        <fgColor rgb="FF92D050"/>
        <bgColor rgb="FF9BBB59"/>
      </patternFill>
    </fill>
    <fill>
      <patternFill patternType="solid">
        <fgColor rgb="FFFAC090"/>
        <bgColor rgb="FFE6B9B8"/>
      </patternFill>
    </fill>
    <fill>
      <patternFill patternType="solid">
        <fgColor rgb="FFFFFF00"/>
        <bgColor rgb="FFFFC000"/>
      </patternFill>
    </fill>
    <fill>
      <patternFill patternType="solid">
        <fgColor rgb="FF8EB4E3"/>
        <bgColor rgb="FF95B3D7"/>
      </patternFill>
    </fill>
    <fill>
      <patternFill patternType="solid">
        <fgColor rgb="FFB3A2C7"/>
        <bgColor rgb="FFA6A6A6"/>
      </patternFill>
    </fill>
    <fill>
      <patternFill patternType="solid">
        <fgColor rgb="FFC4BD97"/>
        <bgColor rgb="FFBFBFBF"/>
      </patternFill>
    </fill>
    <fill>
      <patternFill patternType="solid">
        <fgColor rgb="FFC0504D"/>
        <bgColor rgb="FF953735"/>
      </patternFill>
    </fill>
    <fill>
      <patternFill patternType="solid">
        <fgColor rgb="FF9BBB59"/>
        <bgColor rgb="FF92D050"/>
      </patternFill>
    </fill>
    <fill>
      <patternFill patternType="solid">
        <fgColor rgb="FFE46C0A"/>
        <bgColor rgb="FFC0504D"/>
      </patternFill>
    </fill>
    <fill>
      <patternFill patternType="solid">
        <fgColor rgb="FFA6A6A6"/>
        <bgColor rgb="FFB3A2C7"/>
      </patternFill>
    </fill>
    <fill>
      <patternFill patternType="solid">
        <fgColor rgb="FF00B050"/>
        <bgColor rgb="FF00CC66"/>
      </patternFill>
    </fill>
    <fill>
      <patternFill patternType="solid">
        <fgColor rgb="FFD7E4BD"/>
        <bgColor rgb="FFDDD9C3"/>
      </patternFill>
    </fill>
    <fill>
      <patternFill patternType="solid">
        <fgColor rgb="FFD99694"/>
        <bgColor rgb="FFCE9178"/>
      </patternFill>
    </fill>
    <fill>
      <patternFill patternType="solid">
        <fgColor rgb="FF77933C"/>
        <bgColor rgb="FF948A54"/>
      </patternFill>
    </fill>
    <fill>
      <patternFill patternType="solid">
        <fgColor rgb="FF8064A2"/>
        <bgColor rgb="FF4F81BD"/>
      </patternFill>
    </fill>
    <fill>
      <patternFill patternType="solid">
        <fgColor rgb="FF00B0F0"/>
        <bgColor rgb="FF4BACC6"/>
      </patternFill>
    </fill>
    <fill>
      <patternFill patternType="solid">
        <fgColor rgb="FFCCC1DA"/>
        <bgColor rgb="FFBFBFBF"/>
      </patternFill>
    </fill>
    <fill>
      <patternFill patternType="solid">
        <fgColor rgb="FFC3D69B"/>
        <bgColor rgb="FFD7E4BD"/>
      </patternFill>
    </fill>
    <fill>
      <patternFill patternType="solid">
        <fgColor rgb="FFE6B9B8"/>
        <bgColor rgb="FFFAC090"/>
      </patternFill>
    </fill>
    <fill>
      <patternFill patternType="solid">
        <fgColor rgb="FFBFBFBF"/>
        <bgColor rgb="FFCCC1DA"/>
      </patternFill>
    </fill>
    <fill>
      <patternFill patternType="solid">
        <fgColor rgb="FFEEECE1"/>
        <bgColor rgb="FFEBF1DE"/>
      </patternFill>
    </fill>
    <fill>
      <patternFill patternType="solid">
        <fgColor rgb="FFB7DEE8"/>
        <bgColor rgb="FFD7E4BD"/>
      </patternFill>
    </fill>
    <fill>
      <patternFill patternType="solid">
        <fgColor rgb="FFE6E0EC"/>
        <bgColor rgb="FFEEECE1"/>
      </patternFill>
    </fill>
    <fill>
      <patternFill patternType="solid">
        <fgColor rgb="FF95B3D7"/>
        <bgColor rgb="FF8EB4E3"/>
      </patternFill>
    </fill>
    <fill>
      <patternFill patternType="solid">
        <fgColor rgb="FF31859C"/>
        <bgColor rgb="FF4F81BD"/>
      </patternFill>
    </fill>
    <fill>
      <patternFill patternType="solid">
        <fgColor rgb="FF948A54"/>
        <bgColor rgb="FF77933C"/>
      </patternFill>
    </fill>
    <fill>
      <patternFill patternType="solid">
        <fgColor rgb="FF00CC66"/>
        <bgColor rgb="FF00B050"/>
      </patternFill>
    </fill>
    <fill>
      <patternFill patternType="solid">
        <fgColor rgb="FF953735"/>
        <bgColor rgb="FF632523"/>
      </patternFill>
    </fill>
    <fill>
      <patternFill patternType="solid">
        <fgColor rgb="FF3366FF"/>
        <bgColor rgb="FF4F81BD"/>
      </patternFill>
    </fill>
    <fill>
      <patternFill patternType="solid">
        <fgColor rgb="FF4BACC6"/>
        <bgColor rgb="FF558ED5"/>
      </patternFill>
    </fill>
    <fill>
      <patternFill patternType="solid">
        <fgColor rgb="FF7030A0"/>
        <bgColor rgb="FF800080"/>
      </patternFill>
    </fill>
    <fill>
      <patternFill patternType="solid">
        <fgColor rgb="FF558ED5"/>
        <bgColor rgb="FF4F81BD"/>
      </patternFill>
    </fill>
    <fill>
      <patternFill patternType="solid">
        <fgColor rgb="FF632523"/>
        <bgColor rgb="FF953735"/>
      </patternFill>
    </fill>
    <fill>
      <patternFill patternType="solid">
        <fgColor rgb="FF4F81BD"/>
        <bgColor rgb="FF558ED5"/>
      </patternFill>
    </fill>
    <fill>
      <patternFill patternType="solid">
        <fgColor rgb="FFFCD5B5"/>
        <bgColor rgb="FFFFC7CE"/>
      </patternFill>
    </fill>
    <fill>
      <patternFill patternType="solid">
        <fgColor rgb="FFFFC000"/>
        <bgColor rgb="FFF79646"/>
      </patternFill>
    </fill>
    <fill>
      <patternFill patternType="solid">
        <fgColor rgb="FFEBF1DE"/>
        <bgColor rgb="FFEEECE1"/>
      </patternFill>
    </fill>
    <fill>
      <patternFill patternType="solid">
        <fgColor rgb="FF93CDDD"/>
        <bgColor rgb="FF8EB4E3"/>
      </patternFill>
    </fill>
    <fill>
      <patternFill patternType="solid">
        <fgColor rgb="FFDDD9C3"/>
        <bgColor rgb="FFD7E4BD"/>
      </patternFill>
    </fill>
    <fill>
      <patternFill patternType="solid">
        <fgColor rgb="FFF17D7D"/>
        <bgColor rgb="FFD99694"/>
      </patternFill>
    </fill>
    <fill>
      <patternFill patternType="solid">
        <fgColor rgb="FFF79646"/>
        <bgColor rgb="FFF17D7D"/>
      </patternFill>
    </fill>
    <fill>
      <patternFill patternType="solid">
        <fgColor rgb="FFFF0000"/>
        <bgColor indexed="64"/>
      </patternFill>
    </fill>
    <fill>
      <patternFill patternType="solid">
        <fgColor theme="8" tint="0.59999389629810485"/>
        <bgColor indexed="64"/>
      </patternFill>
    </fill>
    <fill>
      <patternFill patternType="solid">
        <fgColor theme="8" tint="0.59999389629810485"/>
        <bgColor rgb="FFCE9178"/>
      </patternFill>
    </fill>
    <fill>
      <patternFill patternType="solid">
        <fgColor theme="9" tint="0.39997558519241921"/>
        <bgColor indexed="64"/>
      </patternFill>
    </fill>
    <fill>
      <patternFill patternType="solid">
        <fgColor theme="0" tint="-0.34998626667073579"/>
        <bgColor rgb="FFF17D7D"/>
      </patternFill>
    </fill>
    <fill>
      <patternFill patternType="solid">
        <fgColor theme="0" tint="-0.34998626667073579"/>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39997558519241921"/>
        <bgColor rgb="FFF17D7D"/>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3" tint="0.79998168889431442"/>
        <bgColor rgb="FF95B3D7"/>
      </patternFill>
    </fill>
    <fill>
      <patternFill patternType="solid">
        <fgColor theme="5" tint="0.59999389629810485"/>
        <bgColor rgb="FF95B3D7"/>
      </patternFill>
    </fill>
    <fill>
      <patternFill patternType="solid">
        <fgColor theme="7" tint="0.59999389629810485"/>
        <bgColor rgb="FFD7E4BD"/>
      </patternFill>
    </fill>
    <fill>
      <patternFill patternType="solid">
        <fgColor theme="6" tint="0.59999389629810485"/>
        <bgColor indexed="64"/>
      </patternFill>
    </fill>
    <fill>
      <patternFill patternType="solid">
        <fgColor theme="6" tint="0.59999389629810485"/>
        <bgColor rgb="FFD7E4BD"/>
      </patternFill>
    </fill>
    <fill>
      <patternFill patternType="solid">
        <fgColor theme="7"/>
        <bgColor rgb="FFD7E4BD"/>
      </patternFill>
    </fill>
    <fill>
      <patternFill patternType="solid">
        <fgColor theme="7"/>
        <bgColor indexed="64"/>
      </patternFill>
    </fill>
    <fill>
      <patternFill patternType="solid">
        <fgColor theme="8" tint="0.39997558519241921"/>
        <bgColor indexed="64"/>
      </patternFill>
    </fill>
    <fill>
      <patternFill patternType="solid">
        <fgColor theme="8" tint="0.39997558519241921"/>
        <bgColor rgb="FFD7E4BD"/>
      </patternFill>
    </fill>
    <fill>
      <patternFill patternType="solid">
        <fgColor theme="3" tint="0.39997558519241921"/>
        <bgColor rgb="FFD7E4BD"/>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Border="0" applyProtection="0"/>
  </cellStyleXfs>
  <cellXfs count="132">
    <xf numFmtId="0" fontId="0" fillId="0" borderId="0" xfId="0"/>
    <xf numFmtId="0" fontId="1" fillId="0" borderId="0" xfId="0" applyFont="1"/>
    <xf numFmtId="0" fontId="2" fillId="0" borderId="0" xfId="1" applyFont="1" applyBorder="1" applyAlignment="1" applyProtection="1"/>
    <xf numFmtId="49" fontId="0" fillId="0" borderId="0" xfId="0" applyNumberFormat="1"/>
    <xf numFmtId="49" fontId="1" fillId="2" borderId="0" xfId="0" applyNumberFormat="1" applyFont="1" applyFill="1"/>
    <xf numFmtId="0" fontId="1" fillId="2" borderId="0" xfId="0" applyFont="1" applyFill="1"/>
    <xf numFmtId="49" fontId="0" fillId="3" borderId="0" xfId="0" applyNumberFormat="1" applyFont="1" applyFill="1"/>
    <xf numFmtId="0" fontId="0" fillId="0" borderId="0" xfId="0" applyFont="1" applyAlignment="1">
      <alignment wrapText="1"/>
    </xf>
    <xf numFmtId="0" fontId="3" fillId="2" borderId="1" xfId="0" applyFont="1" applyFill="1" applyBorder="1" applyAlignment="1">
      <alignment horizontal="center" vertical="top"/>
    </xf>
    <xf numFmtId="0" fontId="0" fillId="0" borderId="0" xfId="0" applyBorder="1"/>
    <xf numFmtId="49" fontId="1" fillId="2" borderId="1" xfId="0" applyNumberFormat="1" applyFont="1" applyFill="1" applyBorder="1" applyAlignment="1">
      <alignment horizontal="center" vertical="top"/>
    </xf>
    <xf numFmtId="0" fontId="1" fillId="2" borderId="1" xfId="0" applyFont="1" applyFill="1" applyBorder="1" applyAlignment="1">
      <alignment horizontal="center" vertical="top"/>
    </xf>
    <xf numFmtId="0" fontId="0" fillId="0" borderId="0" xfId="0" applyFont="1"/>
    <xf numFmtId="49" fontId="0" fillId="0" borderId="0" xfId="0" applyNumberFormat="1" applyFont="1"/>
    <xf numFmtId="49" fontId="0" fillId="4" borderId="0" xfId="0" applyNumberFormat="1" applyFont="1" applyFill="1"/>
    <xf numFmtId="0" fontId="4" fillId="0" borderId="0" xfId="0" applyFont="1"/>
    <xf numFmtId="0" fontId="5" fillId="0" borderId="0" xfId="0" applyFont="1"/>
    <xf numFmtId="49" fontId="0" fillId="0" borderId="0" xfId="0" applyNumberFormat="1" applyFont="1" applyAlignment="1">
      <alignment wrapText="1"/>
    </xf>
    <xf numFmtId="0" fontId="0" fillId="3" borderId="0" xfId="0" applyFont="1" applyFill="1"/>
    <xf numFmtId="49" fontId="0" fillId="5" borderId="0" xfId="0" applyNumberFormat="1" applyFont="1" applyFill="1"/>
    <xf numFmtId="0" fontId="0" fillId="5" borderId="0" xfId="0" applyFont="1" applyFill="1"/>
    <xf numFmtId="0" fontId="0" fillId="6" borderId="0" xfId="0" applyFont="1" applyFill="1"/>
    <xf numFmtId="49" fontId="0" fillId="2" borderId="0" xfId="0" applyNumberFormat="1" applyFont="1" applyFill="1"/>
    <xf numFmtId="49" fontId="0" fillId="6" borderId="0" xfId="0" applyNumberFormat="1" applyFont="1" applyFill="1"/>
    <xf numFmtId="0" fontId="0" fillId="2" borderId="0" xfId="0" applyFont="1" applyFill="1"/>
    <xf numFmtId="0" fontId="0" fillId="7" borderId="0" xfId="0" applyFont="1" applyFill="1"/>
    <xf numFmtId="0" fontId="0" fillId="8" borderId="0" xfId="0" applyFont="1" applyFill="1"/>
    <xf numFmtId="49" fontId="0" fillId="9" borderId="0" xfId="0" applyNumberFormat="1" applyFont="1" applyFill="1"/>
    <xf numFmtId="0" fontId="0" fillId="9" borderId="0" xfId="0" applyFill="1"/>
    <xf numFmtId="49" fontId="0" fillId="10" borderId="0" xfId="0" applyNumberFormat="1" applyFont="1" applyFill="1"/>
    <xf numFmtId="0" fontId="0" fillId="10" borderId="0" xfId="0" applyFill="1"/>
    <xf numFmtId="49" fontId="0" fillId="11" borderId="0" xfId="0" applyNumberFormat="1" applyFont="1" applyFill="1"/>
    <xf numFmtId="0" fontId="0" fillId="11" borderId="0" xfId="0" applyFill="1"/>
    <xf numFmtId="0" fontId="0" fillId="12" borderId="0" xfId="0" applyFont="1" applyFill="1"/>
    <xf numFmtId="0" fontId="0" fillId="13" borderId="0" xfId="0" applyFont="1" applyFill="1"/>
    <xf numFmtId="0" fontId="0" fillId="14" borderId="0" xfId="0" applyFont="1" applyFill="1"/>
    <xf numFmtId="0" fontId="0" fillId="4" borderId="0" xfId="0" applyFill="1"/>
    <xf numFmtId="0" fontId="0" fillId="15" borderId="0" xfId="0" applyFill="1"/>
    <xf numFmtId="0" fontId="0" fillId="0" borderId="0" xfId="0" applyFont="1" applyAlignment="1">
      <alignment horizontal="left"/>
    </xf>
    <xf numFmtId="0" fontId="0" fillId="16" borderId="0" xfId="0" applyFont="1" applyFill="1"/>
    <xf numFmtId="0" fontId="0" fillId="17" borderId="0" xfId="0" applyFont="1" applyFill="1"/>
    <xf numFmtId="0" fontId="0" fillId="18" borderId="0" xfId="0" applyFont="1" applyFill="1"/>
    <xf numFmtId="0" fontId="0" fillId="19" borderId="0" xfId="0" applyFont="1" applyFill="1"/>
    <xf numFmtId="0" fontId="0" fillId="20" borderId="0" xfId="0" applyFont="1" applyFill="1"/>
    <xf numFmtId="0" fontId="0" fillId="21" borderId="0" xfId="0" applyFont="1" applyFill="1"/>
    <xf numFmtId="0" fontId="0" fillId="22" borderId="0" xfId="0" applyFill="1"/>
    <xf numFmtId="0" fontId="0" fillId="23" borderId="0" xfId="0" applyFill="1"/>
    <xf numFmtId="0" fontId="0" fillId="23" borderId="0" xfId="0" applyFont="1" applyFill="1" applyAlignment="1">
      <alignment wrapText="1"/>
    </xf>
    <xf numFmtId="0" fontId="0" fillId="24" borderId="0" xfId="0" applyFont="1" applyFill="1"/>
    <xf numFmtId="0" fontId="0" fillId="25" borderId="0" xfId="0" applyFont="1" applyFill="1"/>
    <xf numFmtId="0" fontId="0" fillId="26" borderId="0" xfId="0" applyFont="1" applyFill="1"/>
    <xf numFmtId="0" fontId="0" fillId="3" borderId="0" xfId="0" applyFill="1"/>
    <xf numFmtId="0" fontId="0" fillId="27" borderId="0" xfId="0" applyFont="1" applyFill="1"/>
    <xf numFmtId="0" fontId="0" fillId="28" borderId="0" xfId="0" applyFill="1"/>
    <xf numFmtId="0" fontId="0" fillId="29" borderId="0" xfId="0" applyFont="1" applyFill="1"/>
    <xf numFmtId="0" fontId="0" fillId="30" borderId="0" xfId="0" applyFont="1" applyFill="1"/>
    <xf numFmtId="0" fontId="0" fillId="31" borderId="0" xfId="0" applyFont="1" applyFill="1"/>
    <xf numFmtId="0" fontId="0" fillId="32" borderId="0" xfId="0" applyFill="1"/>
    <xf numFmtId="0" fontId="0" fillId="33" borderId="0" xfId="0" applyFont="1" applyFill="1"/>
    <xf numFmtId="0" fontId="0" fillId="34" borderId="0" xfId="0" applyFont="1" applyFill="1"/>
    <xf numFmtId="49" fontId="0" fillId="13" borderId="0" xfId="0" applyNumberFormat="1" applyFont="1" applyFill="1"/>
    <xf numFmtId="49" fontId="0" fillId="35" borderId="0" xfId="0" applyNumberFormat="1" applyFont="1" applyFill="1"/>
    <xf numFmtId="0" fontId="0" fillId="36" borderId="0" xfId="0" applyFill="1"/>
    <xf numFmtId="0" fontId="0" fillId="37" borderId="0" xfId="0" applyFont="1" applyFill="1"/>
    <xf numFmtId="0" fontId="0" fillId="38" borderId="0" xfId="0" applyFill="1"/>
    <xf numFmtId="0" fontId="0" fillId="39" borderId="0" xfId="0" applyFont="1" applyFill="1"/>
    <xf numFmtId="0" fontId="6" fillId="0" borderId="0" xfId="0" applyFont="1" applyAlignment="1">
      <alignment vertical="center"/>
    </xf>
    <xf numFmtId="0" fontId="0" fillId="40" borderId="0" xfId="0" applyFont="1" applyFill="1"/>
    <xf numFmtId="0" fontId="1" fillId="6" borderId="0" xfId="0" applyFont="1" applyFill="1"/>
    <xf numFmtId="0" fontId="0" fillId="41" borderId="0" xfId="0" applyFont="1" applyFill="1"/>
    <xf numFmtId="17" fontId="0" fillId="3" borderId="0" xfId="0" applyNumberFormat="1" applyFont="1" applyFill="1"/>
    <xf numFmtId="0" fontId="0" fillId="42" borderId="0" xfId="0" applyFill="1"/>
    <xf numFmtId="0" fontId="1" fillId="0" borderId="0" xfId="0" applyFont="1" applyAlignment="1">
      <alignment wrapText="1"/>
    </xf>
    <xf numFmtId="0" fontId="0" fillId="43" borderId="0" xfId="0" applyFont="1" applyFill="1"/>
    <xf numFmtId="0" fontId="0" fillId="0" borderId="0" xfId="0" applyFont="1" applyAlignment="1">
      <alignment horizontal="left" wrapText="1"/>
    </xf>
    <xf numFmtId="0" fontId="7" fillId="0" borderId="0" xfId="0" applyFont="1" applyAlignment="1">
      <alignment horizontal="left" vertical="top"/>
    </xf>
    <xf numFmtId="0" fontId="0" fillId="0" borderId="0" xfId="0" applyFont="1" applyBorder="1" applyAlignment="1">
      <alignment horizontal="left" wrapText="1"/>
    </xf>
    <xf numFmtId="0" fontId="8" fillId="0" borderId="0" xfId="0" applyFont="1" applyAlignment="1">
      <alignment horizontal="left" wrapText="1"/>
    </xf>
    <xf numFmtId="0" fontId="3" fillId="0" borderId="1" xfId="0" applyFont="1" applyBorder="1" applyAlignment="1">
      <alignment horizontal="center" vertical="top"/>
    </xf>
    <xf numFmtId="0" fontId="0" fillId="22" borderId="0" xfId="0" applyFont="1" applyFill="1" applyAlignment="1">
      <alignment horizontal="left" wrapText="1"/>
    </xf>
    <xf numFmtId="0" fontId="0" fillId="44" borderId="0" xfId="0" applyFill="1"/>
    <xf numFmtId="0" fontId="10" fillId="0" borderId="0" xfId="0" applyFont="1"/>
    <xf numFmtId="0" fontId="2" fillId="0" borderId="0" xfId="1"/>
    <xf numFmtId="0" fontId="0" fillId="45" borderId="0" xfId="0" applyFill="1"/>
    <xf numFmtId="0" fontId="0" fillId="46" borderId="0" xfId="0" applyFill="1"/>
    <xf numFmtId="0" fontId="0" fillId="0" borderId="0" xfId="0" applyFont="1" applyFill="1"/>
    <xf numFmtId="0" fontId="0" fillId="0" borderId="0" xfId="0" applyFill="1"/>
    <xf numFmtId="0" fontId="0" fillId="47" borderId="0" xfId="0" applyFill="1"/>
    <xf numFmtId="0" fontId="0" fillId="47" borderId="0" xfId="0" applyFont="1" applyFill="1"/>
    <xf numFmtId="0" fontId="0" fillId="0" borderId="0" xfId="0" applyAlignment="1">
      <alignment wrapText="1"/>
    </xf>
    <xf numFmtId="0" fontId="0" fillId="0" borderId="0" xfId="0" quotePrefix="1" applyFont="1" applyAlignment="1">
      <alignment wrapText="1"/>
    </xf>
    <xf numFmtId="0" fontId="0" fillId="0" borderId="0" xfId="0" quotePrefix="1"/>
    <xf numFmtId="0" fontId="11" fillId="0" borderId="0" xfId="0" applyFont="1"/>
    <xf numFmtId="0" fontId="0" fillId="48" borderId="0" xfId="0" applyFont="1" applyFill="1"/>
    <xf numFmtId="0" fontId="0" fillId="49" borderId="0" xfId="0" applyFill="1"/>
    <xf numFmtId="0" fontId="0" fillId="50" borderId="0" xfId="0" applyFill="1"/>
    <xf numFmtId="0" fontId="0" fillId="50" borderId="0" xfId="0" applyFont="1" applyFill="1"/>
    <xf numFmtId="0" fontId="0" fillId="51" borderId="0" xfId="0" applyFill="1"/>
    <xf numFmtId="0" fontId="0" fillId="52" borderId="0" xfId="0" applyFill="1"/>
    <xf numFmtId="0" fontId="0" fillId="53" borderId="0" xfId="0" applyFill="1"/>
    <xf numFmtId="0" fontId="0" fillId="44" borderId="0" xfId="0" quotePrefix="1" applyFill="1"/>
    <xf numFmtId="0" fontId="0" fillId="54" borderId="0" xfId="0" applyFill="1"/>
    <xf numFmtId="0" fontId="0" fillId="55" borderId="0" xfId="0" applyFont="1" applyFill="1"/>
    <xf numFmtId="0" fontId="0" fillId="56" borderId="0" xfId="0" applyFill="1"/>
    <xf numFmtId="0" fontId="0" fillId="57" borderId="0" xfId="0" applyFill="1"/>
    <xf numFmtId="0" fontId="0" fillId="58" borderId="0" xfId="0" applyFill="1"/>
    <xf numFmtId="0" fontId="0" fillId="59" borderId="0" xfId="0" applyFill="1"/>
    <xf numFmtId="0" fontId="0" fillId="60" borderId="0" xfId="0" applyFill="1"/>
    <xf numFmtId="0" fontId="0" fillId="61" borderId="0" xfId="0" applyFill="1"/>
    <xf numFmtId="0" fontId="12" fillId="0" borderId="0" xfId="0" applyFont="1" applyAlignment="1">
      <alignment vertical="center"/>
    </xf>
    <xf numFmtId="0" fontId="0" fillId="62" borderId="0" xfId="0" applyFill="1"/>
    <xf numFmtId="49" fontId="0" fillId="0" borderId="0" xfId="0" applyNumberFormat="1" applyFont="1" applyFill="1"/>
    <xf numFmtId="49" fontId="0" fillId="0" borderId="0" xfId="0" applyNumberFormat="1" applyFill="1"/>
    <xf numFmtId="0" fontId="0" fillId="44" borderId="0" xfId="0" applyFont="1" applyFill="1"/>
    <xf numFmtId="0" fontId="0" fillId="63" borderId="0" xfId="0" applyFill="1"/>
    <xf numFmtId="0" fontId="0" fillId="64" borderId="0" xfId="0" applyFont="1" applyFill="1"/>
    <xf numFmtId="0" fontId="13" fillId="0" borderId="0" xfId="0" applyFont="1"/>
    <xf numFmtId="0" fontId="14" fillId="0" borderId="0" xfId="0" applyFont="1"/>
    <xf numFmtId="0" fontId="1" fillId="0" borderId="0" xfId="0" applyFont="1" applyFill="1"/>
    <xf numFmtId="0" fontId="0" fillId="51" borderId="0" xfId="0" applyFont="1" applyFill="1"/>
    <xf numFmtId="0" fontId="0" fillId="65" borderId="0" xfId="0" applyFont="1" applyFill="1"/>
    <xf numFmtId="0" fontId="0" fillId="66" borderId="0" xfId="0" applyFont="1" applyFill="1"/>
    <xf numFmtId="0" fontId="0" fillId="66" borderId="0" xfId="0" quotePrefix="1" applyFont="1" applyFill="1"/>
    <xf numFmtId="0" fontId="0" fillId="67" borderId="0" xfId="0" applyFill="1"/>
    <xf numFmtId="0" fontId="0" fillId="68" borderId="0" xfId="0" applyFont="1" applyFill="1"/>
    <xf numFmtId="0" fontId="0" fillId="67" borderId="0" xfId="0" applyFont="1" applyFill="1"/>
    <xf numFmtId="0" fontId="0" fillId="67" borderId="0" xfId="0" quotePrefix="1" applyFill="1"/>
    <xf numFmtId="0" fontId="0" fillId="69" borderId="0" xfId="0" applyFont="1" applyFill="1"/>
    <xf numFmtId="0" fontId="0" fillId="70" borderId="0" xfId="0" applyFill="1"/>
    <xf numFmtId="0" fontId="0" fillId="71" borderId="0" xfId="0" applyFont="1" applyFill="1"/>
    <xf numFmtId="0" fontId="0" fillId="72" borderId="0" xfId="0" applyFont="1" applyFill="1"/>
    <xf numFmtId="0" fontId="0" fillId="73" borderId="0" xfId="0" applyFont="1" applyFill="1"/>
  </cellXfs>
  <cellStyles count="2">
    <cellStyle name="Гиперссылка" xfId="1" builtinId="8"/>
    <cellStyle name="Обычный"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EEECE1"/>
      <rgbColor rgb="FFFF0000"/>
      <rgbColor rgb="FF00CC66"/>
      <rgbColor rgb="FF0000FF"/>
      <rgbColor rgb="FFFFFF00"/>
      <rgbColor rgb="FFE6B9B8"/>
      <rgbColor rgb="FF95B3D7"/>
      <rgbColor rgb="FF9C0006"/>
      <rgbColor rgb="FF9BBB59"/>
      <rgbColor rgb="FF000080"/>
      <rgbColor rgb="FF77933C"/>
      <rgbColor rgb="FF800080"/>
      <rgbColor rgb="FF00B050"/>
      <rgbColor rgb="FFBFBFBF"/>
      <rgbColor rgb="FF948A54"/>
      <rgbColor rgb="FF8EB4E3"/>
      <rgbColor rgb="FF953735"/>
      <rgbColor rgb="FFEBF1DE"/>
      <rgbColor rgb="FFE6E0EC"/>
      <rgbColor rgb="FF660066"/>
      <rgbColor rgb="FFF17D7D"/>
      <rgbColor rgb="FF558ED5"/>
      <rgbColor rgb="FFCCC1DA"/>
      <rgbColor rgb="FF000080"/>
      <rgbColor rgb="FFFFC7CE"/>
      <rgbColor rgb="FFC3D69B"/>
      <rgbColor rgb="FFC4BD97"/>
      <rgbColor rgb="FF800080"/>
      <rgbColor rgb="FF800000"/>
      <rgbColor rgb="FF4F81BD"/>
      <rgbColor rgb="FF0000FF"/>
      <rgbColor rgb="FF00B0F0"/>
      <rgbColor rgb="FFB7DEE8"/>
      <rgbColor rgb="FFD7E4BD"/>
      <rgbColor rgb="FFFCD5B5"/>
      <rgbColor rgb="FF93CDDD"/>
      <rgbColor rgb="FFD99694"/>
      <rgbColor rgb="FFB3A2C7"/>
      <rgbColor rgb="FFFAC090"/>
      <rgbColor rgb="FF3366FF"/>
      <rgbColor rgb="FF4BACC6"/>
      <rgbColor rgb="FF92D050"/>
      <rgbColor rgb="FFFFC000"/>
      <rgbColor rgb="FFF79646"/>
      <rgbColor rgb="FFE46C0A"/>
      <rgbColor rgb="FF8064A2"/>
      <rgbColor rgb="FFA6A6A6"/>
      <rgbColor rgb="FF003366"/>
      <rgbColor rgb="FF31859C"/>
      <rgbColor rgb="FF003300"/>
      <rgbColor rgb="FFDDD9C3"/>
      <rgbColor rgb="FFC0504D"/>
      <rgbColor rgb="FF7030A0"/>
      <rgbColor rgb="FFCE9178"/>
      <rgbColor rgb="FF6325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7"/>
  <sheetViews>
    <sheetView zoomScaleNormal="100" workbookViewId="0">
      <selection activeCell="A5" sqref="A5"/>
    </sheetView>
  </sheetViews>
  <sheetFormatPr defaultColWidth="8.7109375" defaultRowHeight="15" x14ac:dyDescent="0.25"/>
  <cols>
    <col min="1" max="1" width="30" customWidth="1"/>
    <col min="2" max="2" width="56.7109375" customWidth="1"/>
  </cols>
  <sheetData>
    <row r="1" spans="1:2" x14ac:dyDescent="0.25">
      <c r="A1" s="1" t="s">
        <v>0</v>
      </c>
      <c r="B1" s="1" t="s">
        <v>1</v>
      </c>
    </row>
    <row r="2" spans="1:2" x14ac:dyDescent="0.25">
      <c r="A2" s="2" t="s">
        <v>2</v>
      </c>
      <c r="B2" s="1" t="s">
        <v>3</v>
      </c>
    </row>
    <row r="3" spans="1:2" x14ac:dyDescent="0.25">
      <c r="A3" s="2"/>
    </row>
    <row r="4" spans="1:2" x14ac:dyDescent="0.25">
      <c r="A4" s="2" t="s">
        <v>4</v>
      </c>
      <c r="B4" s="1" t="s">
        <v>5</v>
      </c>
    </row>
    <row r="5" spans="1:2" x14ac:dyDescent="0.25">
      <c r="A5" s="2" t="s">
        <v>6</v>
      </c>
      <c r="B5" s="1" t="s">
        <v>7</v>
      </c>
    </row>
    <row r="6" spans="1:2" x14ac:dyDescent="0.25">
      <c r="A6" s="2" t="s">
        <v>8</v>
      </c>
      <c r="B6" s="1" t="s">
        <v>9</v>
      </c>
    </row>
    <row r="7" spans="1:2" x14ac:dyDescent="0.25">
      <c r="A7" s="2" t="s">
        <v>10</v>
      </c>
      <c r="B7" s="1" t="s">
        <v>11</v>
      </c>
    </row>
    <row r="8" spans="1:2" x14ac:dyDescent="0.25">
      <c r="A8" s="2" t="s">
        <v>12</v>
      </c>
      <c r="B8" s="1" t="s">
        <v>13</v>
      </c>
    </row>
    <row r="9" spans="1:2" x14ac:dyDescent="0.25">
      <c r="A9" s="2" t="s">
        <v>14</v>
      </c>
      <c r="B9" s="1" t="s">
        <v>15</v>
      </c>
    </row>
    <row r="10" spans="1:2" x14ac:dyDescent="0.25">
      <c r="A10" s="2" t="s">
        <v>16</v>
      </c>
      <c r="B10" s="1" t="s">
        <v>17</v>
      </c>
    </row>
    <row r="11" spans="1:2" x14ac:dyDescent="0.25">
      <c r="A11" s="2" t="s">
        <v>18</v>
      </c>
      <c r="B11" s="1" t="s">
        <v>19</v>
      </c>
    </row>
    <row r="12" spans="1:2" x14ac:dyDescent="0.25">
      <c r="A12" s="2" t="s">
        <v>20</v>
      </c>
      <c r="B12" s="1" t="s">
        <v>21</v>
      </c>
    </row>
    <row r="13" spans="1:2" x14ac:dyDescent="0.25">
      <c r="A13" s="2" t="s">
        <v>22</v>
      </c>
      <c r="B13" s="1" t="s">
        <v>23</v>
      </c>
    </row>
    <row r="14" spans="1:2" x14ac:dyDescent="0.25">
      <c r="A14" s="2" t="s">
        <v>24</v>
      </c>
      <c r="B14" s="1" t="s">
        <v>25</v>
      </c>
    </row>
    <row r="15" spans="1:2" x14ac:dyDescent="0.25">
      <c r="A15" s="2" t="s">
        <v>26</v>
      </c>
      <c r="B15" s="1" t="s">
        <v>27</v>
      </c>
    </row>
    <row r="16" spans="1:2" x14ac:dyDescent="0.25">
      <c r="A16" s="2" t="s">
        <v>28</v>
      </c>
      <c r="B16" s="1" t="s">
        <v>29</v>
      </c>
    </row>
    <row r="17" spans="1:20" x14ac:dyDescent="0.25">
      <c r="A17" s="2" t="s">
        <v>30</v>
      </c>
      <c r="B17" s="1" t="s">
        <v>31</v>
      </c>
    </row>
    <row r="18" spans="1:20" x14ac:dyDescent="0.25">
      <c r="A18" s="2" t="s">
        <v>32</v>
      </c>
      <c r="B18" s="1" t="s">
        <v>33</v>
      </c>
    </row>
    <row r="19" spans="1:20" x14ac:dyDescent="0.25">
      <c r="A19" s="2" t="s">
        <v>34</v>
      </c>
      <c r="B19" s="1" t="s">
        <v>35</v>
      </c>
    </row>
    <row r="20" spans="1:20" x14ac:dyDescent="0.25">
      <c r="A20" s="2" t="s">
        <v>36</v>
      </c>
      <c r="B20" s="1" t="s">
        <v>37</v>
      </c>
    </row>
    <row r="21" spans="1:20" x14ac:dyDescent="0.25">
      <c r="A21" s="2" t="s">
        <v>38</v>
      </c>
      <c r="B21" s="1" t="s">
        <v>39</v>
      </c>
    </row>
    <row r="22" spans="1:20" x14ac:dyDescent="0.25">
      <c r="A22" s="2" t="s">
        <v>40</v>
      </c>
      <c r="B22" s="1" t="s">
        <v>41</v>
      </c>
      <c r="T22" s="2"/>
    </row>
    <row r="23" spans="1:20" x14ac:dyDescent="0.25">
      <c r="A23" s="2" t="s">
        <v>42</v>
      </c>
      <c r="B23" s="1" t="s">
        <v>43</v>
      </c>
      <c r="T23" s="2"/>
    </row>
    <row r="24" spans="1:20" x14ac:dyDescent="0.25">
      <c r="A24" s="2" t="s">
        <v>44</v>
      </c>
      <c r="B24" s="1" t="s">
        <v>45</v>
      </c>
      <c r="T24" s="2"/>
    </row>
    <row r="25" spans="1:20" x14ac:dyDescent="0.25">
      <c r="A25" s="2" t="s">
        <v>46</v>
      </c>
      <c r="B25" s="1" t="s">
        <v>47</v>
      </c>
      <c r="T25" s="2"/>
    </row>
    <row r="26" spans="1:20" x14ac:dyDescent="0.25">
      <c r="A26" s="2" t="s">
        <v>48</v>
      </c>
      <c r="B26" s="1" t="s">
        <v>49</v>
      </c>
    </row>
    <row r="27" spans="1:20" x14ac:dyDescent="0.25">
      <c r="A27" s="82" t="s">
        <v>4388</v>
      </c>
      <c r="B27" s="81" t="s">
        <v>4387</v>
      </c>
    </row>
  </sheetData>
  <hyperlinks>
    <hyperlink ref="A2" location="switch_models!A1" display="switch_models" xr:uid="{00000000-0004-0000-0000-000000000000}"/>
    <hyperlink ref="A4" location="sfp_models!A1" display="sfp_models" xr:uid="{00000000-0004-0000-0000-000001000000}"/>
    <hyperlink ref="A5" location="oui!A1" display="oui" xr:uid="{00000000-0004-0000-0000-000002000000}"/>
    <hyperlink ref="A6" location="chassis!A1" display="chassis" xr:uid="{00000000-0004-0000-0000-000003000000}"/>
    <hyperlink ref="A7" location="switch!A1" display="switch" xr:uid="{00000000-0004-0000-0000-000004000000}"/>
    <hyperlink ref="A8" location="maps!A1" display="maps" xr:uid="{00000000-0004-0000-0000-000005000000}"/>
    <hyperlink ref="A9" location="portcmd!A1" display="portcmd" xr:uid="{00000000-0004-0000-0000-000006000000}"/>
    <hyperlink ref="A10" location="portinfo!A1" display="portinfo" xr:uid="{00000000-0004-0000-0000-000007000000}"/>
    <hyperlink ref="A11" location="ns_fdmi!A1" display="ns_fdmi" xr:uid="{00000000-0004-0000-0000-000008000000}"/>
    <hyperlink ref="A12" location="ns_split!A1" display="ns_split" xr:uid="{00000000-0004-0000-0000-000009000000}"/>
    <hyperlink ref="A13" location="isl!A1" display="isl" xr:uid="{00000000-0004-0000-0000-00000A000000}"/>
    <hyperlink ref="A14" location="fcr!A1" display="fcr" xr:uid="{00000000-0004-0000-0000-00000B000000}"/>
    <hyperlink ref="A15" location="sensor!A1" display="sensor" xr:uid="{00000000-0004-0000-0000-00000C000000}"/>
    <hyperlink ref="A16" location="fabric!A1" display="fabric" xr:uid="{00000000-0004-0000-0000-00000D000000}"/>
    <hyperlink ref="A17" location="zoning!A1" display="zoning" xr:uid="{00000000-0004-0000-0000-00000E000000}"/>
    <hyperlink ref="A18" location="blades!A1" display="blades" xr:uid="{00000000-0004-0000-0000-00000F000000}"/>
    <hyperlink ref="A19" location="'3par'!A1" display="3par" xr:uid="{00000000-0004-0000-0000-000010000000}"/>
    <hyperlink ref="A20" location="log!A1" display="log" xr:uid="{00000000-0004-0000-0000-000011000000}"/>
    <hyperlink ref="A21" location="raslog_split!A1" display="raslog_split" xr:uid="{00000000-0004-0000-0000-000012000000}"/>
    <hyperlink ref="A22" location="raslog_details!A1" display="raslog_details" xr:uid="{00000000-0004-0000-0000-000013000000}"/>
    <hyperlink ref="A23" location="raslog_id_details!A1" display="raslog_id_details" xr:uid="{00000000-0004-0000-0000-000014000000}"/>
    <hyperlink ref="A24" location="common_regex!A1" display="common_regex" xr:uid="{00000000-0004-0000-0000-000015000000}"/>
    <hyperlink ref="A25" location="report_columns_links!A1" display="links_to_report_columns" xr:uid="{00000000-0004-0000-0000-000016000000}"/>
    <hyperlink ref="A26" location="customer_report!A1" display="customer_report" xr:uid="{00000000-0004-0000-0000-000017000000}"/>
    <hyperlink ref="A27" location="topology_regex!A1" display="toplogy_regex" xr:uid="{07110825-190A-44C9-99A7-49292BC332B2}"/>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3"/>
  <sheetViews>
    <sheetView zoomScaleNormal="100" workbookViewId="0">
      <pane xSplit="3" ySplit="3" topLeftCell="D31" activePane="bottomRight" state="frozen"/>
      <selection pane="topRight" activeCell="D1" sqref="D1"/>
      <selection pane="bottomLeft" activeCell="A43" sqref="A43"/>
      <selection pane="bottomRight" activeCell="B63" sqref="B63"/>
    </sheetView>
  </sheetViews>
  <sheetFormatPr defaultColWidth="8.5703125" defaultRowHeight="15" x14ac:dyDescent="0.25"/>
  <cols>
    <col min="1" max="1" width="13.42578125" style="3" customWidth="1"/>
    <col min="2" max="3" width="42.140625" customWidth="1"/>
    <col min="4" max="4" width="55.42578125" customWidth="1"/>
    <col min="5" max="5" width="14.5703125" customWidth="1"/>
    <col min="6" max="6" width="20" customWidth="1"/>
    <col min="7" max="7" width="78" customWidth="1"/>
    <col min="8" max="8" width="19.7109375" style="3" customWidth="1"/>
    <col min="9" max="9" width="15.28515625" style="3" customWidth="1"/>
    <col min="10" max="11" width="20.85546875" customWidth="1"/>
    <col min="12" max="12" width="11.5703125" customWidth="1"/>
  </cols>
  <sheetData>
    <row r="1" spans="1:12" x14ac:dyDescent="0.25">
      <c r="A1" s="2" t="s">
        <v>0</v>
      </c>
    </row>
    <row r="2" spans="1:12" x14ac:dyDescent="0.25">
      <c r="A2" s="1" t="s">
        <v>3</v>
      </c>
    </row>
    <row r="3" spans="1:12" x14ac:dyDescent="0.25">
      <c r="A3" s="4" t="s">
        <v>50</v>
      </c>
      <c r="B3" s="5" t="s">
        <v>51</v>
      </c>
      <c r="C3" s="5" t="s">
        <v>52</v>
      </c>
      <c r="D3" s="5" t="s">
        <v>53</v>
      </c>
      <c r="E3" s="5" t="s">
        <v>54</v>
      </c>
      <c r="F3" s="5" t="s">
        <v>55</v>
      </c>
      <c r="G3" s="5" t="s">
        <v>56</v>
      </c>
      <c r="H3" s="4" t="s">
        <v>57</v>
      </c>
      <c r="I3" s="5" t="s">
        <v>58</v>
      </c>
      <c r="J3" s="5" t="s">
        <v>59</v>
      </c>
      <c r="K3" s="5" t="s">
        <v>60</v>
      </c>
      <c r="L3" s="5" t="s">
        <v>61</v>
      </c>
    </row>
    <row r="4" spans="1:12" x14ac:dyDescent="0.25">
      <c r="A4" s="3" t="s">
        <v>62</v>
      </c>
      <c r="B4" t="s">
        <v>63</v>
      </c>
      <c r="C4" t="s">
        <v>63</v>
      </c>
      <c r="D4" t="s">
        <v>64</v>
      </c>
      <c r="E4" t="s">
        <v>64</v>
      </c>
      <c r="F4">
        <v>1</v>
      </c>
      <c r="G4" t="s">
        <v>64</v>
      </c>
      <c r="H4" s="3" t="s">
        <v>64</v>
      </c>
      <c r="I4" s="3" t="s">
        <v>64</v>
      </c>
      <c r="J4" s="3" t="s">
        <v>64</v>
      </c>
      <c r="K4" s="3"/>
      <c r="L4" s="3" t="s">
        <v>64</v>
      </c>
    </row>
    <row r="5" spans="1:12" x14ac:dyDescent="0.25">
      <c r="A5" s="3">
        <v>2</v>
      </c>
      <c r="B5" t="s">
        <v>65</v>
      </c>
      <c r="C5" t="s">
        <v>65</v>
      </c>
      <c r="D5" t="s">
        <v>64</v>
      </c>
      <c r="E5" t="s">
        <v>66</v>
      </c>
      <c r="F5">
        <v>1</v>
      </c>
      <c r="G5" t="s">
        <v>64</v>
      </c>
      <c r="H5" s="3" t="s">
        <v>64</v>
      </c>
      <c r="I5" s="3" t="s">
        <v>67</v>
      </c>
      <c r="J5" s="3" t="s">
        <v>64</v>
      </c>
      <c r="K5" s="3"/>
      <c r="L5" s="3" t="s">
        <v>64</v>
      </c>
    </row>
    <row r="6" spans="1:12" x14ac:dyDescent="0.25">
      <c r="A6" s="3">
        <v>3</v>
      </c>
      <c r="B6" t="s">
        <v>68</v>
      </c>
      <c r="C6" t="s">
        <v>68</v>
      </c>
      <c r="D6" t="s">
        <v>64</v>
      </c>
      <c r="E6" t="s">
        <v>66</v>
      </c>
      <c r="F6">
        <v>1</v>
      </c>
      <c r="G6" t="s">
        <v>64</v>
      </c>
      <c r="H6" s="3" t="s">
        <v>64</v>
      </c>
      <c r="I6" s="3" t="s">
        <v>67</v>
      </c>
      <c r="J6" s="3" t="s">
        <v>64</v>
      </c>
      <c r="K6" s="3"/>
      <c r="L6" s="3" t="s">
        <v>64</v>
      </c>
    </row>
    <row r="7" spans="1:12" x14ac:dyDescent="0.25">
      <c r="A7" s="3">
        <v>4</v>
      </c>
      <c r="B7" t="s">
        <v>69</v>
      </c>
      <c r="C7" t="s">
        <v>69</v>
      </c>
      <c r="D7" t="s">
        <v>64</v>
      </c>
      <c r="E7" t="s">
        <v>66</v>
      </c>
      <c r="F7">
        <v>1</v>
      </c>
      <c r="G7" t="s">
        <v>64</v>
      </c>
      <c r="H7" s="3" t="s">
        <v>64</v>
      </c>
      <c r="I7" s="3" t="s">
        <v>67</v>
      </c>
      <c r="J7" s="3" t="s">
        <v>64</v>
      </c>
      <c r="K7" s="3"/>
      <c r="L7" s="3" t="s">
        <v>64</v>
      </c>
    </row>
    <row r="8" spans="1:12" x14ac:dyDescent="0.25">
      <c r="A8" s="3">
        <v>5</v>
      </c>
      <c r="B8" t="s">
        <v>70</v>
      </c>
      <c r="C8" t="s">
        <v>70</v>
      </c>
      <c r="D8" t="s">
        <v>64</v>
      </c>
      <c r="E8" t="s">
        <v>64</v>
      </c>
      <c r="F8">
        <v>1</v>
      </c>
      <c r="G8" t="s">
        <v>64</v>
      </c>
      <c r="H8" s="3" t="s">
        <v>64</v>
      </c>
      <c r="I8" s="3" t="s">
        <v>64</v>
      </c>
      <c r="J8" s="3" t="s">
        <v>64</v>
      </c>
      <c r="K8" s="3"/>
      <c r="L8" s="3" t="s">
        <v>64</v>
      </c>
    </row>
    <row r="9" spans="1:12" x14ac:dyDescent="0.25">
      <c r="A9" s="3">
        <v>6</v>
      </c>
      <c r="B9" t="s">
        <v>65</v>
      </c>
      <c r="C9" t="s">
        <v>65</v>
      </c>
      <c r="D9" t="s">
        <v>64</v>
      </c>
      <c r="E9" t="s">
        <v>66</v>
      </c>
      <c r="F9">
        <v>1</v>
      </c>
      <c r="G9" t="s">
        <v>64</v>
      </c>
      <c r="H9" s="3" t="s">
        <v>64</v>
      </c>
      <c r="I9" s="3" t="s">
        <v>67</v>
      </c>
      <c r="J9" s="3" t="s">
        <v>64</v>
      </c>
      <c r="K9" s="3"/>
      <c r="L9" s="3" t="s">
        <v>64</v>
      </c>
    </row>
    <row r="10" spans="1:12" x14ac:dyDescent="0.25">
      <c r="A10" s="3">
        <v>7</v>
      </c>
      <c r="B10" t="s">
        <v>71</v>
      </c>
      <c r="C10" t="s">
        <v>71</v>
      </c>
      <c r="D10" t="s">
        <v>64</v>
      </c>
      <c r="E10" t="s">
        <v>64</v>
      </c>
      <c r="F10">
        <v>1</v>
      </c>
      <c r="G10" t="s">
        <v>64</v>
      </c>
      <c r="H10" s="3" t="s">
        <v>64</v>
      </c>
      <c r="I10" s="3" t="s">
        <v>64</v>
      </c>
      <c r="J10" s="3" t="s">
        <v>64</v>
      </c>
      <c r="K10" s="3"/>
      <c r="L10" s="3" t="s">
        <v>64</v>
      </c>
    </row>
    <row r="11" spans="1:12" x14ac:dyDescent="0.25">
      <c r="A11" s="3">
        <v>9</v>
      </c>
      <c r="B11" t="s">
        <v>72</v>
      </c>
      <c r="C11" t="s">
        <v>72</v>
      </c>
      <c r="D11" t="s">
        <v>64</v>
      </c>
      <c r="E11" t="s">
        <v>73</v>
      </c>
      <c r="F11">
        <v>2</v>
      </c>
      <c r="G11" t="s">
        <v>64</v>
      </c>
      <c r="H11" s="3" t="s">
        <v>64</v>
      </c>
      <c r="I11" s="3" t="s">
        <v>67</v>
      </c>
      <c r="J11" s="3" t="s">
        <v>64</v>
      </c>
      <c r="K11" s="3"/>
      <c r="L11" s="3" t="s">
        <v>64</v>
      </c>
    </row>
    <row r="12" spans="1:12" x14ac:dyDescent="0.25">
      <c r="A12" s="3">
        <v>10</v>
      </c>
      <c r="B12" t="s">
        <v>74</v>
      </c>
      <c r="C12" t="s">
        <v>74</v>
      </c>
      <c r="D12" t="s">
        <v>75</v>
      </c>
      <c r="E12" t="s">
        <v>73</v>
      </c>
      <c r="F12">
        <v>2</v>
      </c>
      <c r="G12" t="s">
        <v>76</v>
      </c>
      <c r="H12" s="3" t="s">
        <v>64</v>
      </c>
      <c r="I12" s="3" t="s">
        <v>67</v>
      </c>
      <c r="J12" s="3" t="s">
        <v>64</v>
      </c>
      <c r="K12" s="3"/>
      <c r="L12" s="3" t="s">
        <v>77</v>
      </c>
    </row>
    <row r="13" spans="1:12" x14ac:dyDescent="0.25">
      <c r="A13" s="3">
        <v>12</v>
      </c>
      <c r="B13" t="s">
        <v>78</v>
      </c>
      <c r="C13" t="s">
        <v>78</v>
      </c>
      <c r="D13" t="s">
        <v>79</v>
      </c>
      <c r="E13" t="s">
        <v>73</v>
      </c>
      <c r="F13">
        <v>2</v>
      </c>
      <c r="G13" t="s">
        <v>80</v>
      </c>
      <c r="H13" s="3" t="s">
        <v>64</v>
      </c>
      <c r="I13" s="3" t="s">
        <v>67</v>
      </c>
      <c r="J13" s="3" t="s">
        <v>64</v>
      </c>
      <c r="K13" s="3"/>
      <c r="L13" s="3" t="s">
        <v>81</v>
      </c>
    </row>
    <row r="14" spans="1:12" x14ac:dyDescent="0.25">
      <c r="A14" s="3">
        <v>16</v>
      </c>
      <c r="B14" t="s">
        <v>82</v>
      </c>
      <c r="C14" t="s">
        <v>82</v>
      </c>
      <c r="D14" t="s">
        <v>83</v>
      </c>
      <c r="E14" t="s">
        <v>73</v>
      </c>
      <c r="F14">
        <v>2</v>
      </c>
      <c r="G14" t="s">
        <v>84</v>
      </c>
      <c r="H14" s="3" t="s">
        <v>64</v>
      </c>
      <c r="I14" s="3" t="s">
        <v>67</v>
      </c>
      <c r="J14" s="3" t="s">
        <v>64</v>
      </c>
      <c r="K14" s="3"/>
      <c r="L14" s="3" t="s">
        <v>85</v>
      </c>
    </row>
    <row r="15" spans="1:12" x14ac:dyDescent="0.25">
      <c r="A15" s="3">
        <v>17</v>
      </c>
      <c r="B15" t="s">
        <v>86</v>
      </c>
      <c r="C15" t="s">
        <v>86</v>
      </c>
      <c r="D15" t="s">
        <v>64</v>
      </c>
      <c r="E15" t="s">
        <v>64</v>
      </c>
      <c r="F15">
        <v>1</v>
      </c>
      <c r="G15" t="s">
        <v>64</v>
      </c>
      <c r="H15" s="3" t="s">
        <v>64</v>
      </c>
      <c r="I15" s="3" t="s">
        <v>64</v>
      </c>
      <c r="J15" s="3" t="s">
        <v>64</v>
      </c>
      <c r="K15" s="3"/>
      <c r="L15" s="3" t="s">
        <v>64</v>
      </c>
    </row>
    <row r="16" spans="1:12" x14ac:dyDescent="0.25">
      <c r="A16" s="3">
        <v>18</v>
      </c>
      <c r="B16" t="s">
        <v>87</v>
      </c>
      <c r="C16" t="s">
        <v>87</v>
      </c>
      <c r="D16" t="s">
        <v>64</v>
      </c>
      <c r="E16" t="s">
        <v>64</v>
      </c>
      <c r="F16">
        <v>1</v>
      </c>
      <c r="G16" t="s">
        <v>64</v>
      </c>
      <c r="H16" s="3" t="s">
        <v>64</v>
      </c>
      <c r="I16" s="3" t="s">
        <v>64</v>
      </c>
      <c r="J16" s="3" t="s">
        <v>64</v>
      </c>
      <c r="K16" s="3"/>
      <c r="L16" s="3" t="s">
        <v>64</v>
      </c>
    </row>
    <row r="17" spans="1:12" x14ac:dyDescent="0.25">
      <c r="A17" s="3">
        <v>21</v>
      </c>
      <c r="B17" t="s">
        <v>88</v>
      </c>
      <c r="C17" t="s">
        <v>88</v>
      </c>
      <c r="D17" t="s">
        <v>89</v>
      </c>
      <c r="E17" t="s">
        <v>73</v>
      </c>
      <c r="F17">
        <v>2</v>
      </c>
      <c r="G17" t="s">
        <v>90</v>
      </c>
      <c r="H17" s="3" t="s">
        <v>64</v>
      </c>
      <c r="I17" s="3" t="s">
        <v>67</v>
      </c>
      <c r="J17" s="3" t="s">
        <v>64</v>
      </c>
      <c r="K17" s="3"/>
      <c r="L17" s="3" t="s">
        <v>77</v>
      </c>
    </row>
    <row r="18" spans="1:12" x14ac:dyDescent="0.25">
      <c r="A18" s="3">
        <v>22</v>
      </c>
      <c r="B18" t="s">
        <v>91</v>
      </c>
      <c r="C18" t="s">
        <v>91</v>
      </c>
      <c r="D18" t="s">
        <v>64</v>
      </c>
      <c r="E18" t="s">
        <v>73</v>
      </c>
      <c r="F18">
        <v>2</v>
      </c>
      <c r="G18" t="s">
        <v>64</v>
      </c>
      <c r="H18" s="3" t="s">
        <v>64</v>
      </c>
      <c r="I18" s="3" t="s">
        <v>67</v>
      </c>
      <c r="J18" s="3" t="s">
        <v>64</v>
      </c>
      <c r="K18" s="3"/>
      <c r="L18" s="3" t="s">
        <v>64</v>
      </c>
    </row>
    <row r="19" spans="1:12" x14ac:dyDescent="0.25">
      <c r="A19" s="3">
        <v>26</v>
      </c>
      <c r="B19" t="s">
        <v>92</v>
      </c>
      <c r="C19" t="s">
        <v>92</v>
      </c>
      <c r="D19" t="s">
        <v>93</v>
      </c>
      <c r="E19" t="s">
        <v>73</v>
      </c>
      <c r="F19">
        <v>2</v>
      </c>
      <c r="G19" t="s">
        <v>94</v>
      </c>
      <c r="H19" s="3" t="s">
        <v>64</v>
      </c>
      <c r="I19" s="3" t="s">
        <v>67</v>
      </c>
      <c r="J19" s="3" t="s">
        <v>64</v>
      </c>
      <c r="K19" s="3"/>
      <c r="L19" s="3" t="s">
        <v>95</v>
      </c>
    </row>
    <row r="20" spans="1:12" x14ac:dyDescent="0.25">
      <c r="A20" s="3">
        <v>27</v>
      </c>
      <c r="B20" t="s">
        <v>96</v>
      </c>
      <c r="C20" t="s">
        <v>96</v>
      </c>
      <c r="D20" t="s">
        <v>64</v>
      </c>
      <c r="E20" t="s">
        <v>73</v>
      </c>
      <c r="F20">
        <v>2</v>
      </c>
      <c r="G20" t="s">
        <v>97</v>
      </c>
      <c r="H20" s="3" t="s">
        <v>64</v>
      </c>
      <c r="I20" s="3" t="s">
        <v>67</v>
      </c>
      <c r="J20" s="3" t="s">
        <v>64</v>
      </c>
      <c r="K20" s="3"/>
      <c r="L20" s="3" t="s">
        <v>85</v>
      </c>
    </row>
    <row r="21" spans="1:12" x14ac:dyDescent="0.25">
      <c r="A21" s="3">
        <v>29</v>
      </c>
      <c r="B21" t="s">
        <v>98</v>
      </c>
      <c r="C21" t="s">
        <v>98</v>
      </c>
      <c r="D21" t="s">
        <v>99</v>
      </c>
      <c r="E21" t="s">
        <v>100</v>
      </c>
      <c r="F21">
        <v>4</v>
      </c>
      <c r="G21" t="s">
        <v>101</v>
      </c>
      <c r="H21" s="3" t="s">
        <v>64</v>
      </c>
      <c r="I21" s="3" t="s">
        <v>67</v>
      </c>
      <c r="J21" s="3" t="s">
        <v>64</v>
      </c>
      <c r="K21" s="3"/>
      <c r="L21" s="3" t="s">
        <v>102</v>
      </c>
    </row>
    <row r="22" spans="1:12" x14ac:dyDescent="0.25">
      <c r="A22" s="3">
        <v>32</v>
      </c>
      <c r="B22" t="s">
        <v>103</v>
      </c>
      <c r="C22" t="s">
        <v>103</v>
      </c>
      <c r="D22" t="s">
        <v>104</v>
      </c>
      <c r="E22" t="s">
        <v>100</v>
      </c>
      <c r="F22">
        <v>4</v>
      </c>
      <c r="G22" t="s">
        <v>105</v>
      </c>
      <c r="H22" s="3" t="s">
        <v>64</v>
      </c>
      <c r="I22" s="3" t="s">
        <v>67</v>
      </c>
      <c r="J22" s="3" t="s">
        <v>64</v>
      </c>
      <c r="K22" s="3"/>
      <c r="L22" s="3" t="s">
        <v>95</v>
      </c>
    </row>
    <row r="23" spans="1:12" x14ac:dyDescent="0.25">
      <c r="A23" s="3">
        <v>33</v>
      </c>
      <c r="B23" t="s">
        <v>106</v>
      </c>
      <c r="C23" t="s">
        <v>106</v>
      </c>
      <c r="D23" t="s">
        <v>64</v>
      </c>
      <c r="E23" t="s">
        <v>64</v>
      </c>
      <c r="F23">
        <v>1</v>
      </c>
      <c r="G23" t="s">
        <v>64</v>
      </c>
      <c r="H23" s="3" t="s">
        <v>64</v>
      </c>
      <c r="I23" s="3" t="s">
        <v>64</v>
      </c>
      <c r="J23" s="3" t="s">
        <v>64</v>
      </c>
      <c r="K23" s="3"/>
      <c r="L23" s="3" t="s">
        <v>64</v>
      </c>
    </row>
    <row r="24" spans="1:12" x14ac:dyDescent="0.25">
      <c r="A24" s="3">
        <v>34</v>
      </c>
      <c r="B24" t="s">
        <v>107</v>
      </c>
      <c r="C24" t="s">
        <v>107</v>
      </c>
      <c r="D24" t="s">
        <v>108</v>
      </c>
      <c r="E24" t="s">
        <v>100</v>
      </c>
      <c r="F24">
        <v>4</v>
      </c>
      <c r="G24" t="s">
        <v>109</v>
      </c>
      <c r="H24" s="3" t="s">
        <v>64</v>
      </c>
      <c r="I24" s="3" t="s">
        <v>67</v>
      </c>
      <c r="J24" s="3" t="s">
        <v>64</v>
      </c>
      <c r="K24" s="3"/>
      <c r="L24" s="3" t="s">
        <v>85</v>
      </c>
    </row>
    <row r="25" spans="1:12" x14ac:dyDescent="0.25">
      <c r="A25" s="3">
        <v>37</v>
      </c>
      <c r="B25" t="s">
        <v>110</v>
      </c>
      <c r="C25" t="s">
        <v>110</v>
      </c>
      <c r="D25" t="s">
        <v>64</v>
      </c>
      <c r="E25" t="s">
        <v>100</v>
      </c>
      <c r="F25">
        <v>4</v>
      </c>
      <c r="G25" t="s">
        <v>111</v>
      </c>
      <c r="H25" s="3" t="s">
        <v>64</v>
      </c>
      <c r="I25" s="3" t="s">
        <v>67</v>
      </c>
      <c r="J25" s="3" t="s">
        <v>64</v>
      </c>
      <c r="K25" s="3"/>
      <c r="L25" s="3" t="s">
        <v>102</v>
      </c>
    </row>
    <row r="26" spans="1:12" x14ac:dyDescent="0.25">
      <c r="A26" s="3">
        <v>38</v>
      </c>
      <c r="B26" t="s">
        <v>112</v>
      </c>
      <c r="C26" t="s">
        <v>112</v>
      </c>
      <c r="D26" t="s">
        <v>113</v>
      </c>
      <c r="E26" t="s">
        <v>73</v>
      </c>
      <c r="F26">
        <v>2</v>
      </c>
      <c r="G26" t="s">
        <v>114</v>
      </c>
      <c r="H26" s="3" t="s">
        <v>64</v>
      </c>
      <c r="I26" s="3" t="s">
        <v>67</v>
      </c>
      <c r="J26" s="3" t="s">
        <v>64</v>
      </c>
      <c r="K26" s="3"/>
      <c r="L26" s="3" t="s">
        <v>64</v>
      </c>
    </row>
    <row r="27" spans="1:12" x14ac:dyDescent="0.25">
      <c r="A27" s="3">
        <v>40</v>
      </c>
      <c r="B27" t="s">
        <v>115</v>
      </c>
      <c r="C27" t="s">
        <v>115</v>
      </c>
      <c r="D27" t="s">
        <v>64</v>
      </c>
      <c r="E27" t="s">
        <v>64</v>
      </c>
      <c r="F27">
        <v>1</v>
      </c>
      <c r="G27" t="s">
        <v>64</v>
      </c>
      <c r="H27" s="3" t="s">
        <v>64</v>
      </c>
      <c r="I27" s="3" t="s">
        <v>64</v>
      </c>
      <c r="J27" s="3" t="s">
        <v>64</v>
      </c>
      <c r="K27" s="3"/>
      <c r="L27" s="3" t="s">
        <v>64</v>
      </c>
    </row>
    <row r="28" spans="1:12" x14ac:dyDescent="0.25">
      <c r="A28" s="3">
        <v>41</v>
      </c>
      <c r="B28" t="s">
        <v>116</v>
      </c>
      <c r="C28" t="s">
        <v>116</v>
      </c>
      <c r="D28" t="s">
        <v>64</v>
      </c>
      <c r="E28" t="s">
        <v>64</v>
      </c>
      <c r="F28">
        <v>1</v>
      </c>
      <c r="G28" t="s">
        <v>64</v>
      </c>
      <c r="H28" s="3" t="s">
        <v>64</v>
      </c>
      <c r="I28" s="3" t="s">
        <v>64</v>
      </c>
      <c r="J28" s="3" t="s">
        <v>64</v>
      </c>
      <c r="K28" s="3"/>
      <c r="L28" s="3" t="s">
        <v>64</v>
      </c>
    </row>
    <row r="29" spans="1:12" x14ac:dyDescent="0.25">
      <c r="A29" s="3">
        <v>42</v>
      </c>
      <c r="B29" t="s">
        <v>117</v>
      </c>
      <c r="C29" t="s">
        <v>117</v>
      </c>
      <c r="D29" t="s">
        <v>118</v>
      </c>
      <c r="E29" t="s">
        <v>100</v>
      </c>
      <c r="F29">
        <v>4</v>
      </c>
      <c r="G29" t="s">
        <v>119</v>
      </c>
      <c r="H29" s="3" t="s">
        <v>64</v>
      </c>
      <c r="I29" s="3" t="s">
        <v>67</v>
      </c>
      <c r="J29" s="3" t="s">
        <v>64</v>
      </c>
      <c r="K29" s="3"/>
      <c r="L29" s="3" t="s">
        <v>77</v>
      </c>
    </row>
    <row r="30" spans="1:12" x14ac:dyDescent="0.25">
      <c r="A30" s="3">
        <v>43</v>
      </c>
      <c r="B30" t="s">
        <v>120</v>
      </c>
      <c r="C30" t="s">
        <v>120</v>
      </c>
      <c r="D30" t="s">
        <v>121</v>
      </c>
      <c r="E30" t="s">
        <v>100</v>
      </c>
      <c r="F30">
        <v>4</v>
      </c>
      <c r="G30" t="s">
        <v>122</v>
      </c>
      <c r="H30" s="3" t="s">
        <v>64</v>
      </c>
      <c r="I30" s="3" t="s">
        <v>67</v>
      </c>
      <c r="J30" s="3" t="s">
        <v>64</v>
      </c>
      <c r="K30" s="3"/>
      <c r="L30" s="3" t="s">
        <v>102</v>
      </c>
    </row>
    <row r="31" spans="1:12" x14ac:dyDescent="0.25">
      <c r="A31" s="3">
        <v>44</v>
      </c>
      <c r="B31" t="s">
        <v>123</v>
      </c>
      <c r="C31" t="s">
        <v>123</v>
      </c>
      <c r="D31" t="s">
        <v>124</v>
      </c>
      <c r="E31" t="s">
        <v>100</v>
      </c>
      <c r="F31">
        <v>4</v>
      </c>
      <c r="G31" t="s">
        <v>125</v>
      </c>
      <c r="H31" s="3" t="s">
        <v>64</v>
      </c>
      <c r="I31" s="3" t="s">
        <v>67</v>
      </c>
      <c r="J31" s="3" t="s">
        <v>64</v>
      </c>
      <c r="K31" s="3"/>
      <c r="L31" s="3" t="s">
        <v>81</v>
      </c>
    </row>
    <row r="32" spans="1:12" x14ac:dyDescent="0.25">
      <c r="A32" s="3">
        <v>45</v>
      </c>
      <c r="B32" t="s">
        <v>126</v>
      </c>
      <c r="C32" t="s">
        <v>126</v>
      </c>
      <c r="D32" t="s">
        <v>64</v>
      </c>
      <c r="E32" t="s">
        <v>100</v>
      </c>
      <c r="F32">
        <v>4</v>
      </c>
      <c r="G32" t="s">
        <v>127</v>
      </c>
      <c r="H32" s="3" t="s">
        <v>64</v>
      </c>
      <c r="I32" s="3" t="s">
        <v>67</v>
      </c>
      <c r="J32" s="3" t="s">
        <v>64</v>
      </c>
      <c r="K32" s="3"/>
      <c r="L32" s="3" t="s">
        <v>102</v>
      </c>
    </row>
    <row r="33" spans="1:12" x14ac:dyDescent="0.25">
      <c r="A33" s="3">
        <v>46</v>
      </c>
      <c r="B33" t="s">
        <v>128</v>
      </c>
      <c r="C33" t="s">
        <v>128</v>
      </c>
      <c r="D33" t="s">
        <v>129</v>
      </c>
      <c r="E33" t="s">
        <v>100</v>
      </c>
      <c r="F33">
        <v>4</v>
      </c>
      <c r="G33" t="s">
        <v>114</v>
      </c>
      <c r="H33" s="3" t="s">
        <v>64</v>
      </c>
      <c r="I33" s="3" t="s">
        <v>67</v>
      </c>
      <c r="J33" s="3" t="s">
        <v>64</v>
      </c>
      <c r="K33" s="3"/>
      <c r="L33" s="3" t="s">
        <v>64</v>
      </c>
    </row>
    <row r="34" spans="1:12" x14ac:dyDescent="0.25">
      <c r="A34" s="3">
        <v>51</v>
      </c>
      <c r="B34" t="s">
        <v>130</v>
      </c>
      <c r="C34" t="s">
        <v>130</v>
      </c>
      <c r="D34" t="s">
        <v>64</v>
      </c>
      <c r="E34" t="s">
        <v>100</v>
      </c>
      <c r="F34">
        <v>4</v>
      </c>
      <c r="G34" t="s">
        <v>131</v>
      </c>
      <c r="H34" s="3" t="s">
        <v>64</v>
      </c>
      <c r="I34" s="3" t="s">
        <v>67</v>
      </c>
      <c r="J34" s="3" t="s">
        <v>64</v>
      </c>
      <c r="K34" s="3"/>
      <c r="L34" s="3" t="s">
        <v>102</v>
      </c>
    </row>
    <row r="35" spans="1:12" x14ac:dyDescent="0.25">
      <c r="A35" s="3" t="s">
        <v>132</v>
      </c>
      <c r="B35" t="s">
        <v>133</v>
      </c>
      <c r="C35" t="s">
        <v>133</v>
      </c>
      <c r="D35" t="s">
        <v>64</v>
      </c>
      <c r="E35" t="s">
        <v>100</v>
      </c>
      <c r="F35">
        <v>4</v>
      </c>
      <c r="G35" t="s">
        <v>64</v>
      </c>
      <c r="H35" s="3" t="s">
        <v>64</v>
      </c>
      <c r="I35" s="3" t="s">
        <v>67</v>
      </c>
      <c r="J35" s="3" t="s">
        <v>64</v>
      </c>
      <c r="K35" s="3"/>
      <c r="L35" s="3" t="s">
        <v>64</v>
      </c>
    </row>
    <row r="36" spans="1:12" x14ac:dyDescent="0.25">
      <c r="A36" s="3">
        <v>58</v>
      </c>
      <c r="B36" t="s">
        <v>134</v>
      </c>
      <c r="C36" t="s">
        <v>134</v>
      </c>
      <c r="D36" t="s">
        <v>135</v>
      </c>
      <c r="E36" t="s">
        <v>100</v>
      </c>
      <c r="F36">
        <v>4</v>
      </c>
      <c r="G36" t="s">
        <v>105</v>
      </c>
      <c r="H36" s="3" t="s">
        <v>64</v>
      </c>
      <c r="I36" s="3" t="s">
        <v>67</v>
      </c>
      <c r="J36" s="3" t="s">
        <v>62</v>
      </c>
      <c r="K36" s="3" t="s">
        <v>136</v>
      </c>
      <c r="L36" s="3" t="s">
        <v>95</v>
      </c>
    </row>
    <row r="37" spans="1:12" x14ac:dyDescent="0.25">
      <c r="A37" s="3">
        <v>61</v>
      </c>
      <c r="B37" t="s">
        <v>137</v>
      </c>
      <c r="C37" t="s">
        <v>137</v>
      </c>
      <c r="D37" t="s">
        <v>64</v>
      </c>
      <c r="E37" t="s">
        <v>100</v>
      </c>
      <c r="F37">
        <v>4</v>
      </c>
      <c r="G37" t="s">
        <v>122</v>
      </c>
      <c r="H37" s="3" t="s">
        <v>64</v>
      </c>
      <c r="I37" s="3" t="s">
        <v>67</v>
      </c>
      <c r="J37" s="3" t="s">
        <v>64</v>
      </c>
      <c r="K37" s="3"/>
      <c r="L37" s="3" t="s">
        <v>102</v>
      </c>
    </row>
    <row r="38" spans="1:12" x14ac:dyDescent="0.25">
      <c r="A38" s="3">
        <v>62</v>
      </c>
      <c r="B38" t="s">
        <v>138</v>
      </c>
      <c r="C38" t="s">
        <v>138</v>
      </c>
      <c r="D38" t="s">
        <v>139</v>
      </c>
      <c r="E38" t="s">
        <v>140</v>
      </c>
      <c r="F38">
        <v>8</v>
      </c>
      <c r="G38" t="s">
        <v>141</v>
      </c>
      <c r="H38" s="3" t="s">
        <v>64</v>
      </c>
      <c r="I38" s="3" t="s">
        <v>67</v>
      </c>
      <c r="J38" s="3" t="s">
        <v>64</v>
      </c>
      <c r="K38" s="3"/>
      <c r="L38" s="3" t="s">
        <v>77</v>
      </c>
    </row>
    <row r="39" spans="1:12" x14ac:dyDescent="0.25">
      <c r="A39" s="3">
        <v>64</v>
      </c>
      <c r="B39" t="s">
        <v>142</v>
      </c>
      <c r="C39" t="s">
        <v>142</v>
      </c>
      <c r="D39" t="s">
        <v>143</v>
      </c>
      <c r="E39" t="s">
        <v>140</v>
      </c>
      <c r="F39">
        <v>8</v>
      </c>
      <c r="G39" t="s">
        <v>144</v>
      </c>
      <c r="H39" s="3" t="s">
        <v>64</v>
      </c>
      <c r="I39" s="3" t="s">
        <v>67</v>
      </c>
      <c r="J39" s="3" t="s">
        <v>64</v>
      </c>
      <c r="K39" s="3"/>
      <c r="L39" s="3" t="s">
        <v>81</v>
      </c>
    </row>
    <row r="40" spans="1:12" x14ac:dyDescent="0.25">
      <c r="A40" s="3">
        <v>66</v>
      </c>
      <c r="B40" t="s">
        <v>145</v>
      </c>
      <c r="C40" t="s">
        <v>145</v>
      </c>
      <c r="D40" t="s">
        <v>146</v>
      </c>
      <c r="E40" t="s">
        <v>140</v>
      </c>
      <c r="F40">
        <v>8</v>
      </c>
      <c r="G40" t="s">
        <v>147</v>
      </c>
      <c r="H40" s="3" t="s">
        <v>64</v>
      </c>
      <c r="I40" s="3" t="s">
        <v>67</v>
      </c>
      <c r="J40" s="3" t="s">
        <v>62</v>
      </c>
      <c r="K40" s="3" t="s">
        <v>148</v>
      </c>
      <c r="L40" s="3" t="s">
        <v>95</v>
      </c>
    </row>
    <row r="41" spans="1:12" x14ac:dyDescent="0.25">
      <c r="A41" s="3">
        <v>67</v>
      </c>
      <c r="B41" t="s">
        <v>149</v>
      </c>
      <c r="C41" t="s">
        <v>149</v>
      </c>
      <c r="D41" t="s">
        <v>150</v>
      </c>
      <c r="E41" t="s">
        <v>140</v>
      </c>
      <c r="F41">
        <v>8</v>
      </c>
      <c r="G41" t="s">
        <v>151</v>
      </c>
      <c r="H41" s="6" t="s">
        <v>152</v>
      </c>
      <c r="I41" s="3" t="s">
        <v>153</v>
      </c>
      <c r="J41" s="3" t="s">
        <v>64</v>
      </c>
      <c r="K41" s="3"/>
      <c r="L41" s="3" t="s">
        <v>64</v>
      </c>
    </row>
    <row r="42" spans="1:12" x14ac:dyDescent="0.25">
      <c r="A42" s="3">
        <v>69</v>
      </c>
      <c r="B42" t="s">
        <v>154</v>
      </c>
      <c r="C42" t="s">
        <v>154</v>
      </c>
      <c r="D42" t="s">
        <v>64</v>
      </c>
      <c r="E42" t="s">
        <v>140</v>
      </c>
      <c r="F42">
        <v>8</v>
      </c>
      <c r="G42" t="s">
        <v>155</v>
      </c>
      <c r="H42" s="6" t="s">
        <v>152</v>
      </c>
      <c r="I42" s="3" t="s">
        <v>64</v>
      </c>
      <c r="J42" s="3" t="s">
        <v>64</v>
      </c>
      <c r="K42" s="3"/>
      <c r="L42" s="3" t="s">
        <v>102</v>
      </c>
    </row>
    <row r="43" spans="1:12" x14ac:dyDescent="0.25">
      <c r="A43" s="3">
        <v>70</v>
      </c>
      <c r="B43" t="s">
        <v>156</v>
      </c>
      <c r="C43" t="s">
        <v>156</v>
      </c>
      <c r="D43" t="s">
        <v>157</v>
      </c>
      <c r="E43" t="s">
        <v>140</v>
      </c>
      <c r="F43">
        <v>8</v>
      </c>
      <c r="G43" t="s">
        <v>155</v>
      </c>
      <c r="H43" s="6" t="s">
        <v>152</v>
      </c>
      <c r="I43" s="3" t="s">
        <v>153</v>
      </c>
      <c r="J43" s="3" t="s">
        <v>64</v>
      </c>
      <c r="K43" s="3"/>
      <c r="L43" s="3" t="s">
        <v>102</v>
      </c>
    </row>
    <row r="44" spans="1:12" x14ac:dyDescent="0.25">
      <c r="A44" s="3">
        <v>71</v>
      </c>
      <c r="B44" t="s">
        <v>4503</v>
      </c>
      <c r="C44" t="s">
        <v>4503</v>
      </c>
      <c r="D44" t="s">
        <v>158</v>
      </c>
      <c r="E44" t="s">
        <v>140</v>
      </c>
      <c r="F44">
        <v>8</v>
      </c>
      <c r="G44" t="s">
        <v>159</v>
      </c>
      <c r="H44" s="6" t="s">
        <v>152</v>
      </c>
      <c r="I44" s="3" t="s">
        <v>160</v>
      </c>
      <c r="J44" s="3" t="s">
        <v>62</v>
      </c>
      <c r="K44" s="3" t="s">
        <v>161</v>
      </c>
      <c r="L44" s="3" t="s">
        <v>85</v>
      </c>
    </row>
    <row r="45" spans="1:12" x14ac:dyDescent="0.25">
      <c r="A45" s="3">
        <v>72</v>
      </c>
      <c r="B45" t="s">
        <v>162</v>
      </c>
      <c r="C45" t="s">
        <v>162</v>
      </c>
      <c r="D45" t="s">
        <v>163</v>
      </c>
      <c r="E45" t="s">
        <v>140</v>
      </c>
      <c r="F45">
        <v>8</v>
      </c>
      <c r="G45" t="s">
        <v>164</v>
      </c>
      <c r="H45" s="6" t="s">
        <v>152</v>
      </c>
      <c r="I45" s="3" t="s">
        <v>160</v>
      </c>
      <c r="J45" s="3" t="s">
        <v>62</v>
      </c>
      <c r="K45" s="3" t="s">
        <v>161</v>
      </c>
      <c r="L45" s="3" t="s">
        <v>102</v>
      </c>
    </row>
    <row r="46" spans="1:12" x14ac:dyDescent="0.25">
      <c r="A46" s="3">
        <v>73</v>
      </c>
      <c r="B46" t="s">
        <v>165</v>
      </c>
      <c r="C46" t="s">
        <v>165</v>
      </c>
      <c r="D46" t="s">
        <v>64</v>
      </c>
      <c r="E46" t="s">
        <v>140</v>
      </c>
      <c r="F46">
        <v>8</v>
      </c>
      <c r="G46" t="s">
        <v>166</v>
      </c>
      <c r="H46" s="6" t="s">
        <v>152</v>
      </c>
      <c r="I46" s="3" t="s">
        <v>64</v>
      </c>
      <c r="J46" s="3" t="s">
        <v>64</v>
      </c>
      <c r="K46" s="3"/>
      <c r="L46" s="3" t="s">
        <v>102</v>
      </c>
    </row>
    <row r="47" spans="1:12" x14ac:dyDescent="0.25">
      <c r="A47" s="3">
        <v>75</v>
      </c>
      <c r="B47" t="s">
        <v>167</v>
      </c>
      <c r="C47" t="s">
        <v>167</v>
      </c>
      <c r="D47" t="s">
        <v>64</v>
      </c>
      <c r="E47" t="s">
        <v>140</v>
      </c>
      <c r="F47">
        <v>8</v>
      </c>
      <c r="G47" t="s">
        <v>164</v>
      </c>
      <c r="H47" s="6" t="s">
        <v>152</v>
      </c>
      <c r="I47" s="3" t="s">
        <v>64</v>
      </c>
      <c r="J47" s="3" t="s">
        <v>62</v>
      </c>
      <c r="K47" s="3" t="s">
        <v>161</v>
      </c>
      <c r="L47" s="3" t="s">
        <v>102</v>
      </c>
    </row>
    <row r="48" spans="1:12" x14ac:dyDescent="0.25">
      <c r="A48" s="3">
        <v>76</v>
      </c>
      <c r="B48" t="s">
        <v>168</v>
      </c>
      <c r="C48" t="s">
        <v>168</v>
      </c>
      <c r="D48" t="s">
        <v>169</v>
      </c>
      <c r="E48" t="s">
        <v>140</v>
      </c>
      <c r="F48">
        <v>8</v>
      </c>
      <c r="G48" t="s">
        <v>170</v>
      </c>
      <c r="H48" s="3" t="s">
        <v>64</v>
      </c>
      <c r="I48" s="3" t="s">
        <v>67</v>
      </c>
      <c r="J48" s="3" t="s">
        <v>64</v>
      </c>
      <c r="K48" s="3"/>
      <c r="L48" t="s">
        <v>171</v>
      </c>
    </row>
    <row r="49" spans="1:12" x14ac:dyDescent="0.25">
      <c r="A49" s="3">
        <v>77</v>
      </c>
      <c r="B49" t="s">
        <v>172</v>
      </c>
      <c r="C49" t="s">
        <v>172</v>
      </c>
      <c r="D49" t="s">
        <v>173</v>
      </c>
      <c r="E49" t="s">
        <v>140</v>
      </c>
      <c r="F49">
        <v>8</v>
      </c>
      <c r="G49" t="s">
        <v>174</v>
      </c>
      <c r="H49" s="3" t="s">
        <v>64</v>
      </c>
      <c r="I49" s="3" t="s">
        <v>67</v>
      </c>
      <c r="J49" s="3" t="s">
        <v>64</v>
      </c>
      <c r="K49" s="3"/>
      <c r="L49" s="3" t="s">
        <v>77</v>
      </c>
    </row>
    <row r="50" spans="1:12" x14ac:dyDescent="0.25">
      <c r="A50" s="3">
        <v>83</v>
      </c>
      <c r="B50" t="s">
        <v>175</v>
      </c>
      <c r="C50" t="s">
        <v>175</v>
      </c>
      <c r="D50" t="s">
        <v>176</v>
      </c>
      <c r="E50" t="s">
        <v>140</v>
      </c>
      <c r="F50">
        <v>8</v>
      </c>
      <c r="G50" t="s">
        <v>177</v>
      </c>
      <c r="H50" s="6" t="s">
        <v>152</v>
      </c>
      <c r="I50" s="3" t="s">
        <v>160</v>
      </c>
      <c r="J50" s="3" t="s">
        <v>64</v>
      </c>
      <c r="K50" s="3"/>
      <c r="L50" t="s">
        <v>171</v>
      </c>
    </row>
    <row r="51" spans="1:12" x14ac:dyDescent="0.25">
      <c r="A51" s="3">
        <v>86</v>
      </c>
      <c r="B51" t="s">
        <v>178</v>
      </c>
      <c r="C51" t="s">
        <v>178</v>
      </c>
      <c r="D51" t="s">
        <v>64</v>
      </c>
      <c r="E51" t="s">
        <v>140</v>
      </c>
      <c r="F51">
        <v>8</v>
      </c>
      <c r="G51" t="s">
        <v>179</v>
      </c>
      <c r="H51" s="6" t="s">
        <v>152</v>
      </c>
      <c r="I51" s="3" t="s">
        <v>64</v>
      </c>
      <c r="J51" s="3" t="s">
        <v>64</v>
      </c>
      <c r="K51" s="3"/>
      <c r="L51" s="3" t="s">
        <v>102</v>
      </c>
    </row>
    <row r="52" spans="1:12" x14ac:dyDescent="0.25">
      <c r="A52" s="3">
        <v>87</v>
      </c>
      <c r="B52" t="s">
        <v>180</v>
      </c>
      <c r="C52" t="s">
        <v>180</v>
      </c>
      <c r="D52" t="s">
        <v>64</v>
      </c>
      <c r="E52" t="s">
        <v>140</v>
      </c>
      <c r="F52">
        <v>8</v>
      </c>
      <c r="G52" t="s">
        <v>179</v>
      </c>
      <c r="H52" s="6" t="s">
        <v>152</v>
      </c>
      <c r="I52" s="3" t="s">
        <v>67</v>
      </c>
      <c r="J52" s="3" t="s">
        <v>64</v>
      </c>
      <c r="K52" s="3"/>
      <c r="L52" s="3" t="s">
        <v>102</v>
      </c>
    </row>
    <row r="53" spans="1:12" x14ac:dyDescent="0.25">
      <c r="A53" s="3">
        <v>90</v>
      </c>
      <c r="B53" t="s">
        <v>181</v>
      </c>
      <c r="C53" t="s">
        <v>181</v>
      </c>
      <c r="D53" t="s">
        <v>64</v>
      </c>
      <c r="E53" t="s">
        <v>64</v>
      </c>
      <c r="F53">
        <v>1</v>
      </c>
      <c r="G53" t="s">
        <v>64</v>
      </c>
      <c r="H53" s="3" t="s">
        <v>64</v>
      </c>
      <c r="I53" s="3" t="s">
        <v>64</v>
      </c>
      <c r="J53" s="3" t="s">
        <v>64</v>
      </c>
      <c r="K53" s="3"/>
      <c r="L53" s="3" t="s">
        <v>64</v>
      </c>
    </row>
    <row r="54" spans="1:12" x14ac:dyDescent="0.25">
      <c r="A54" s="3">
        <v>92</v>
      </c>
      <c r="B54" t="s">
        <v>182</v>
      </c>
      <c r="C54" t="s">
        <v>182</v>
      </c>
      <c r="D54" t="s">
        <v>64</v>
      </c>
      <c r="E54" t="s">
        <v>140</v>
      </c>
      <c r="F54">
        <v>8</v>
      </c>
      <c r="G54" t="s">
        <v>147</v>
      </c>
      <c r="H54" s="3" t="s">
        <v>64</v>
      </c>
      <c r="I54" s="3" t="s">
        <v>67</v>
      </c>
      <c r="J54" s="3" t="s">
        <v>64</v>
      </c>
      <c r="K54" s="3"/>
      <c r="L54" s="3" t="s">
        <v>95</v>
      </c>
    </row>
    <row r="55" spans="1:12" x14ac:dyDescent="0.25">
      <c r="A55" s="3">
        <v>95</v>
      </c>
      <c r="B55" t="s">
        <v>183</v>
      </c>
      <c r="C55" t="s">
        <v>183</v>
      </c>
      <c r="D55" t="s">
        <v>64</v>
      </c>
      <c r="E55" t="s">
        <v>64</v>
      </c>
      <c r="F55">
        <v>1</v>
      </c>
      <c r="G55" t="s">
        <v>64</v>
      </c>
      <c r="H55" s="3" t="s">
        <v>64</v>
      </c>
      <c r="I55" s="3" t="s">
        <v>64</v>
      </c>
      <c r="J55" s="3" t="s">
        <v>64</v>
      </c>
      <c r="K55" s="3"/>
      <c r="L55" s="3" t="s">
        <v>64</v>
      </c>
    </row>
    <row r="56" spans="1:12" x14ac:dyDescent="0.25">
      <c r="A56" s="3">
        <v>96</v>
      </c>
      <c r="B56" t="s">
        <v>184</v>
      </c>
      <c r="C56" t="s">
        <v>184</v>
      </c>
      <c r="D56" t="s">
        <v>64</v>
      </c>
      <c r="E56" t="s">
        <v>64</v>
      </c>
      <c r="F56">
        <v>1</v>
      </c>
      <c r="G56" t="s">
        <v>64</v>
      </c>
      <c r="H56" s="3" t="s">
        <v>64</v>
      </c>
      <c r="I56" s="3" t="s">
        <v>64</v>
      </c>
      <c r="J56" s="3" t="s">
        <v>64</v>
      </c>
      <c r="K56" s="3"/>
      <c r="L56" s="3" t="s">
        <v>64</v>
      </c>
    </row>
    <row r="57" spans="1:12" x14ac:dyDescent="0.25">
      <c r="A57" s="3">
        <v>97</v>
      </c>
      <c r="B57" t="s">
        <v>185</v>
      </c>
      <c r="C57" t="s">
        <v>185</v>
      </c>
      <c r="D57" t="s">
        <v>64</v>
      </c>
      <c r="E57" t="s">
        <v>64</v>
      </c>
      <c r="F57">
        <v>1</v>
      </c>
      <c r="G57" t="s">
        <v>64</v>
      </c>
      <c r="H57" s="3" t="s">
        <v>64</v>
      </c>
      <c r="I57" s="3" t="s">
        <v>64</v>
      </c>
      <c r="J57" s="3" t="s">
        <v>64</v>
      </c>
      <c r="K57" s="3"/>
      <c r="L57" s="3" t="s">
        <v>64</v>
      </c>
    </row>
    <row r="58" spans="1:12" x14ac:dyDescent="0.25">
      <c r="A58" s="3">
        <v>98</v>
      </c>
      <c r="B58" t="s">
        <v>186</v>
      </c>
      <c r="C58" t="s">
        <v>186</v>
      </c>
      <c r="D58" t="s">
        <v>64</v>
      </c>
      <c r="E58" t="s">
        <v>64</v>
      </c>
      <c r="F58">
        <v>1</v>
      </c>
      <c r="G58" t="s">
        <v>64</v>
      </c>
      <c r="H58" s="3" t="s">
        <v>64</v>
      </c>
      <c r="I58" s="3" t="s">
        <v>64</v>
      </c>
      <c r="J58" s="3" t="s">
        <v>64</v>
      </c>
      <c r="K58" s="3"/>
      <c r="L58" s="3" t="s">
        <v>64</v>
      </c>
    </row>
    <row r="59" spans="1:12" x14ac:dyDescent="0.25">
      <c r="A59" s="3">
        <v>108</v>
      </c>
      <c r="B59" t="s">
        <v>187</v>
      </c>
      <c r="C59" t="s">
        <v>187</v>
      </c>
      <c r="D59" t="s">
        <v>64</v>
      </c>
      <c r="E59" t="s">
        <v>64</v>
      </c>
      <c r="F59">
        <v>1</v>
      </c>
      <c r="G59" t="s">
        <v>64</v>
      </c>
      <c r="H59" s="3" t="s">
        <v>64</v>
      </c>
      <c r="I59" s="3" t="s">
        <v>64</v>
      </c>
      <c r="J59" s="3" t="s">
        <v>64</v>
      </c>
      <c r="K59" s="3"/>
      <c r="L59" s="3" t="s">
        <v>64</v>
      </c>
    </row>
    <row r="60" spans="1:12" x14ac:dyDescent="0.25">
      <c r="A60" s="3">
        <v>109</v>
      </c>
      <c r="B60" t="s">
        <v>188</v>
      </c>
      <c r="C60" t="s">
        <v>188</v>
      </c>
      <c r="D60" t="s">
        <v>189</v>
      </c>
      <c r="E60" t="s">
        <v>190</v>
      </c>
      <c r="F60">
        <v>16</v>
      </c>
      <c r="G60" t="s">
        <v>191</v>
      </c>
      <c r="H60" s="6" t="s">
        <v>4589</v>
      </c>
      <c r="I60" s="3" t="s">
        <v>160</v>
      </c>
      <c r="J60" s="3" t="s">
        <v>62</v>
      </c>
      <c r="K60" s="3" t="s">
        <v>193</v>
      </c>
      <c r="L60" t="s">
        <v>95</v>
      </c>
    </row>
    <row r="61" spans="1:12" x14ac:dyDescent="0.25">
      <c r="A61" s="3">
        <v>116</v>
      </c>
      <c r="B61" t="s">
        <v>194</v>
      </c>
      <c r="C61" t="s">
        <v>194</v>
      </c>
      <c r="D61" t="s">
        <v>64</v>
      </c>
      <c r="E61" t="s">
        <v>64</v>
      </c>
      <c r="F61">
        <v>1</v>
      </c>
      <c r="G61" t="s">
        <v>64</v>
      </c>
      <c r="H61" s="3" t="s">
        <v>64</v>
      </c>
      <c r="I61" s="3" t="s">
        <v>64</v>
      </c>
      <c r="J61" s="3" t="s">
        <v>64</v>
      </c>
      <c r="K61" s="3"/>
      <c r="L61" s="3" t="s">
        <v>64</v>
      </c>
    </row>
    <row r="62" spans="1:12" x14ac:dyDescent="0.25">
      <c r="A62" s="3">
        <v>117</v>
      </c>
      <c r="B62" t="s">
        <v>195</v>
      </c>
      <c r="C62" t="s">
        <v>195</v>
      </c>
      <c r="D62" t="s">
        <v>64</v>
      </c>
      <c r="E62" t="s">
        <v>190</v>
      </c>
      <c r="F62">
        <v>16</v>
      </c>
      <c r="G62" t="s">
        <v>196</v>
      </c>
      <c r="H62" s="6" t="s">
        <v>64</v>
      </c>
      <c r="I62" s="3" t="s">
        <v>160</v>
      </c>
      <c r="J62" s="3" t="s">
        <v>62</v>
      </c>
      <c r="K62" s="3" t="s">
        <v>193</v>
      </c>
      <c r="L62" t="s">
        <v>102</v>
      </c>
    </row>
    <row r="63" spans="1:12" x14ac:dyDescent="0.25">
      <c r="A63" s="3" t="s">
        <v>197</v>
      </c>
      <c r="B63" t="s">
        <v>198</v>
      </c>
      <c r="C63" t="s">
        <v>198</v>
      </c>
      <c r="D63" t="s">
        <v>199</v>
      </c>
      <c r="E63" t="s">
        <v>190</v>
      </c>
      <c r="F63">
        <v>16</v>
      </c>
      <c r="G63" t="s">
        <v>200</v>
      </c>
      <c r="H63" s="6" t="s">
        <v>4589</v>
      </c>
      <c r="I63" s="3" t="s">
        <v>160</v>
      </c>
      <c r="J63" s="3" t="s">
        <v>62</v>
      </c>
      <c r="K63" s="3" t="s">
        <v>193</v>
      </c>
      <c r="L63" s="3" t="s">
        <v>85</v>
      </c>
    </row>
    <row r="64" spans="1:12" x14ac:dyDescent="0.25">
      <c r="A64" s="3" t="s">
        <v>201</v>
      </c>
      <c r="B64" t="s">
        <v>198</v>
      </c>
      <c r="C64" t="s">
        <v>198</v>
      </c>
      <c r="D64" t="s">
        <v>199</v>
      </c>
      <c r="E64" t="s">
        <v>190</v>
      </c>
      <c r="F64">
        <v>16</v>
      </c>
      <c r="G64" t="s">
        <v>200</v>
      </c>
      <c r="H64" s="6" t="s">
        <v>4589</v>
      </c>
      <c r="I64" s="3" t="s">
        <v>160</v>
      </c>
      <c r="J64" s="3" t="s">
        <v>64</v>
      </c>
      <c r="K64" s="3"/>
      <c r="L64" s="3" t="s">
        <v>85</v>
      </c>
    </row>
    <row r="65" spans="1:12" x14ac:dyDescent="0.25">
      <c r="A65" s="3">
        <v>120</v>
      </c>
      <c r="B65" t="s">
        <v>202</v>
      </c>
      <c r="C65" t="s">
        <v>202</v>
      </c>
      <c r="D65" t="s">
        <v>203</v>
      </c>
      <c r="E65" t="s">
        <v>190</v>
      </c>
      <c r="F65">
        <v>16</v>
      </c>
      <c r="G65" t="s">
        <v>204</v>
      </c>
      <c r="H65" s="6" t="s">
        <v>4589</v>
      </c>
      <c r="I65" s="3" t="s">
        <v>160</v>
      </c>
      <c r="J65" s="3" t="s">
        <v>205</v>
      </c>
      <c r="K65" s="3" t="s">
        <v>193</v>
      </c>
      <c r="L65" s="3" t="s">
        <v>77</v>
      </c>
    </row>
    <row r="66" spans="1:12" x14ac:dyDescent="0.25">
      <c r="A66" s="3">
        <v>121</v>
      </c>
      <c r="B66" t="s">
        <v>206</v>
      </c>
      <c r="C66" t="s">
        <v>206</v>
      </c>
      <c r="D66" t="s">
        <v>207</v>
      </c>
      <c r="E66" t="s">
        <v>190</v>
      </c>
      <c r="F66">
        <v>16</v>
      </c>
      <c r="G66" t="s">
        <v>208</v>
      </c>
      <c r="H66" s="6" t="s">
        <v>4589</v>
      </c>
      <c r="I66" s="3" t="s">
        <v>160</v>
      </c>
      <c r="J66" s="3" t="s">
        <v>209</v>
      </c>
      <c r="K66" s="3" t="s">
        <v>193</v>
      </c>
      <c r="L66" s="3" t="s">
        <v>77</v>
      </c>
    </row>
    <row r="67" spans="1:12" x14ac:dyDescent="0.25">
      <c r="A67" s="3" t="s">
        <v>210</v>
      </c>
      <c r="B67" s="7" t="s">
        <v>211</v>
      </c>
      <c r="C67" s="7" t="s">
        <v>211</v>
      </c>
      <c r="D67" t="s">
        <v>64</v>
      </c>
      <c r="E67" t="s">
        <v>140</v>
      </c>
      <c r="F67">
        <v>8</v>
      </c>
      <c r="G67" t="s">
        <v>212</v>
      </c>
      <c r="H67" s="6" t="s">
        <v>152</v>
      </c>
      <c r="I67" s="3" t="s">
        <v>67</v>
      </c>
      <c r="J67" s="3" t="s">
        <v>64</v>
      </c>
      <c r="K67" s="3"/>
      <c r="L67" s="3" t="s">
        <v>102</v>
      </c>
    </row>
    <row r="68" spans="1:12" x14ac:dyDescent="0.25">
      <c r="A68" s="3" t="s">
        <v>213</v>
      </c>
      <c r="B68" s="7" t="s">
        <v>214</v>
      </c>
      <c r="C68" s="7" t="s">
        <v>214</v>
      </c>
      <c r="D68" t="s">
        <v>64</v>
      </c>
      <c r="E68" t="s">
        <v>140</v>
      </c>
      <c r="F68">
        <v>8</v>
      </c>
      <c r="G68" t="s">
        <v>215</v>
      </c>
      <c r="H68" s="6" t="s">
        <v>152</v>
      </c>
      <c r="I68" s="3" t="s">
        <v>160</v>
      </c>
      <c r="J68" s="3" t="s">
        <v>64</v>
      </c>
      <c r="K68" s="3"/>
      <c r="L68" s="3" t="s">
        <v>102</v>
      </c>
    </row>
    <row r="69" spans="1:12" x14ac:dyDescent="0.25">
      <c r="A69" s="3">
        <v>129</v>
      </c>
      <c r="B69" t="s">
        <v>216</v>
      </c>
      <c r="C69" t="s">
        <v>216</v>
      </c>
      <c r="D69" t="s">
        <v>217</v>
      </c>
      <c r="E69" t="s">
        <v>190</v>
      </c>
      <c r="F69">
        <v>16</v>
      </c>
      <c r="G69" t="s">
        <v>218</v>
      </c>
      <c r="H69" s="6" t="s">
        <v>4589</v>
      </c>
      <c r="I69" s="3" t="s">
        <v>160</v>
      </c>
      <c r="J69" s="3" t="s">
        <v>62</v>
      </c>
      <c r="K69" s="3" t="s">
        <v>193</v>
      </c>
      <c r="L69" s="3" t="s">
        <v>102</v>
      </c>
    </row>
    <row r="70" spans="1:12" x14ac:dyDescent="0.25">
      <c r="A70" s="3">
        <v>130</v>
      </c>
      <c r="B70" t="s">
        <v>219</v>
      </c>
      <c r="C70" t="s">
        <v>219</v>
      </c>
      <c r="D70" t="s">
        <v>64</v>
      </c>
      <c r="E70" t="s">
        <v>190</v>
      </c>
      <c r="F70">
        <v>16</v>
      </c>
      <c r="G70" t="s">
        <v>220</v>
      </c>
      <c r="H70" s="6" t="s">
        <v>64</v>
      </c>
      <c r="I70" s="3" t="s">
        <v>160</v>
      </c>
      <c r="J70" s="3" t="s">
        <v>62</v>
      </c>
      <c r="K70" s="3" t="s">
        <v>193</v>
      </c>
      <c r="L70" s="3" t="s">
        <v>102</v>
      </c>
    </row>
    <row r="71" spans="1:12" x14ac:dyDescent="0.25">
      <c r="A71" s="3">
        <v>133</v>
      </c>
      <c r="B71" t="s">
        <v>221</v>
      </c>
      <c r="C71" t="s">
        <v>221</v>
      </c>
      <c r="D71" t="s">
        <v>222</v>
      </c>
      <c r="E71" t="s">
        <v>190</v>
      </c>
      <c r="F71">
        <v>16</v>
      </c>
      <c r="G71" t="s">
        <v>223</v>
      </c>
      <c r="H71" s="6" t="s">
        <v>4589</v>
      </c>
      <c r="I71" s="3" t="s">
        <v>160</v>
      </c>
      <c r="J71" s="3" t="s">
        <v>64</v>
      </c>
      <c r="K71" s="3"/>
      <c r="L71" t="s">
        <v>81</v>
      </c>
    </row>
    <row r="72" spans="1:12" x14ac:dyDescent="0.25">
      <c r="A72" s="3">
        <v>134</v>
      </c>
      <c r="B72" s="7" t="s">
        <v>224</v>
      </c>
      <c r="C72" s="7" t="s">
        <v>224</v>
      </c>
      <c r="D72" t="s">
        <v>64</v>
      </c>
      <c r="E72" t="s">
        <v>140</v>
      </c>
      <c r="F72">
        <v>8</v>
      </c>
      <c r="G72" t="s">
        <v>164</v>
      </c>
      <c r="H72" s="6" t="s">
        <v>152</v>
      </c>
      <c r="I72" s="3" t="s">
        <v>160</v>
      </c>
      <c r="J72" s="3" t="s">
        <v>64</v>
      </c>
      <c r="K72" s="3"/>
      <c r="L72" t="s">
        <v>102</v>
      </c>
    </row>
    <row r="73" spans="1:12" x14ac:dyDescent="0.25">
      <c r="A73" s="3">
        <v>148</v>
      </c>
      <c r="B73" s="7" t="s">
        <v>225</v>
      </c>
      <c r="C73" s="7" t="s">
        <v>225</v>
      </c>
      <c r="D73" t="s">
        <v>226</v>
      </c>
      <c r="E73" t="s">
        <v>190</v>
      </c>
      <c r="F73">
        <v>16</v>
      </c>
      <c r="G73" t="s">
        <v>227</v>
      </c>
      <c r="H73" s="6" t="s">
        <v>4589</v>
      </c>
      <c r="I73" s="3" t="s">
        <v>160</v>
      </c>
      <c r="J73" s="3" t="s">
        <v>64</v>
      </c>
      <c r="K73" s="3"/>
      <c r="L73" t="s">
        <v>171</v>
      </c>
    </row>
    <row r="74" spans="1:12" x14ac:dyDescent="0.25">
      <c r="A74" s="3" t="s">
        <v>228</v>
      </c>
      <c r="B74" s="7" t="s">
        <v>229</v>
      </c>
      <c r="C74" s="7" t="s">
        <v>229</v>
      </c>
      <c r="D74" t="s">
        <v>64</v>
      </c>
      <c r="E74" t="s">
        <v>190</v>
      </c>
      <c r="F74">
        <v>16</v>
      </c>
      <c r="G74" t="s">
        <v>230</v>
      </c>
      <c r="H74" s="6" t="s">
        <v>64</v>
      </c>
      <c r="I74" s="3" t="s">
        <v>160</v>
      </c>
      <c r="J74" s="3" t="s">
        <v>64</v>
      </c>
      <c r="K74" s="3"/>
      <c r="L74" t="s">
        <v>102</v>
      </c>
    </row>
    <row r="75" spans="1:12" x14ac:dyDescent="0.25">
      <c r="A75" s="3" t="s">
        <v>231</v>
      </c>
      <c r="B75" s="7" t="s">
        <v>232</v>
      </c>
      <c r="C75" s="7" t="s">
        <v>232</v>
      </c>
      <c r="D75" t="s">
        <v>64</v>
      </c>
      <c r="E75" t="s">
        <v>190</v>
      </c>
      <c r="F75">
        <v>16</v>
      </c>
      <c r="G75" t="s">
        <v>233</v>
      </c>
      <c r="H75" s="6" t="s">
        <v>64</v>
      </c>
      <c r="I75" s="3" t="s">
        <v>160</v>
      </c>
      <c r="J75" s="3" t="s">
        <v>64</v>
      </c>
      <c r="K75" s="3"/>
      <c r="L75" t="s">
        <v>102</v>
      </c>
    </row>
    <row r="76" spans="1:12" x14ac:dyDescent="0.25">
      <c r="A76" s="3" t="s">
        <v>234</v>
      </c>
      <c r="B76" s="7" t="s">
        <v>235</v>
      </c>
      <c r="C76" s="7" t="s">
        <v>235</v>
      </c>
      <c r="D76" t="s">
        <v>64</v>
      </c>
      <c r="E76" t="s">
        <v>190</v>
      </c>
      <c r="F76">
        <v>16</v>
      </c>
      <c r="G76" t="s">
        <v>230</v>
      </c>
      <c r="H76" s="6" t="s">
        <v>64</v>
      </c>
      <c r="I76" s="3" t="s">
        <v>153</v>
      </c>
      <c r="J76" s="3" t="s">
        <v>62</v>
      </c>
      <c r="K76" s="3" t="s">
        <v>193</v>
      </c>
      <c r="L76" t="s">
        <v>102</v>
      </c>
    </row>
    <row r="77" spans="1:12" x14ac:dyDescent="0.25">
      <c r="A77" s="3" t="s">
        <v>236</v>
      </c>
      <c r="B77" s="7" t="s">
        <v>237</v>
      </c>
      <c r="C77" s="7" t="s">
        <v>237</v>
      </c>
      <c r="D77" t="s">
        <v>238</v>
      </c>
      <c r="E77" t="s">
        <v>190</v>
      </c>
      <c r="F77">
        <v>16</v>
      </c>
      <c r="G77" t="s">
        <v>239</v>
      </c>
      <c r="H77" s="6" t="s">
        <v>4589</v>
      </c>
      <c r="I77" s="3" t="s">
        <v>160</v>
      </c>
      <c r="J77" s="3" t="s">
        <v>62</v>
      </c>
      <c r="K77" s="3" t="s">
        <v>193</v>
      </c>
      <c r="L77" t="s">
        <v>102</v>
      </c>
    </row>
    <row r="78" spans="1:12" x14ac:dyDescent="0.25">
      <c r="A78" s="3" t="s">
        <v>240</v>
      </c>
      <c r="B78" s="7" t="s">
        <v>241</v>
      </c>
      <c r="C78" s="7" t="s">
        <v>241</v>
      </c>
      <c r="D78" t="s">
        <v>241</v>
      </c>
      <c r="E78" t="s">
        <v>64</v>
      </c>
      <c r="F78">
        <v>16</v>
      </c>
      <c r="G78" t="s">
        <v>242</v>
      </c>
      <c r="H78" s="3" t="s">
        <v>153</v>
      </c>
      <c r="I78" s="3" t="s">
        <v>160</v>
      </c>
      <c r="J78" s="3" t="s">
        <v>64</v>
      </c>
      <c r="K78" s="3"/>
      <c r="L78" t="s">
        <v>102</v>
      </c>
    </row>
    <row r="79" spans="1:12" x14ac:dyDescent="0.25">
      <c r="A79" s="3">
        <v>162</v>
      </c>
      <c r="B79" t="s">
        <v>243</v>
      </c>
      <c r="C79" t="s">
        <v>243</v>
      </c>
      <c r="D79" t="s">
        <v>244</v>
      </c>
      <c r="E79" t="s">
        <v>245</v>
      </c>
      <c r="F79">
        <v>32</v>
      </c>
      <c r="G79" t="s">
        <v>246</v>
      </c>
      <c r="H79" s="6" t="s">
        <v>192</v>
      </c>
      <c r="I79" s="3" t="s">
        <v>160</v>
      </c>
      <c r="J79" s="3" t="s">
        <v>62</v>
      </c>
      <c r="K79" s="3" t="s">
        <v>247</v>
      </c>
      <c r="L79" t="s">
        <v>95</v>
      </c>
    </row>
    <row r="80" spans="1:12" x14ac:dyDescent="0.25">
      <c r="A80" s="3" t="s">
        <v>248</v>
      </c>
      <c r="B80" t="s">
        <v>249</v>
      </c>
      <c r="C80" t="s">
        <v>249</v>
      </c>
      <c r="D80" t="s">
        <v>244</v>
      </c>
      <c r="E80" t="s">
        <v>245</v>
      </c>
      <c r="F80">
        <v>32</v>
      </c>
      <c r="G80" t="s">
        <v>246</v>
      </c>
      <c r="H80" s="6" t="s">
        <v>4588</v>
      </c>
      <c r="I80" s="3" t="s">
        <v>160</v>
      </c>
      <c r="J80" s="3" t="s">
        <v>64</v>
      </c>
      <c r="K80" s="3"/>
      <c r="L80" t="s">
        <v>95</v>
      </c>
    </row>
    <row r="81" spans="1:12" x14ac:dyDescent="0.25">
      <c r="A81" s="3" t="s">
        <v>250</v>
      </c>
      <c r="B81" t="s">
        <v>251</v>
      </c>
      <c r="C81" t="s">
        <v>251</v>
      </c>
      <c r="D81" t="s">
        <v>252</v>
      </c>
      <c r="E81" t="s">
        <v>245</v>
      </c>
      <c r="F81">
        <v>32</v>
      </c>
      <c r="G81" t="s">
        <v>253</v>
      </c>
      <c r="H81" s="6" t="s">
        <v>192</v>
      </c>
      <c r="I81" s="3" t="s">
        <v>160</v>
      </c>
      <c r="J81" s="3" t="s">
        <v>205</v>
      </c>
      <c r="K81" s="3" t="s">
        <v>247</v>
      </c>
      <c r="L81" s="3" t="s">
        <v>77</v>
      </c>
    </row>
    <row r="82" spans="1:12" x14ac:dyDescent="0.25">
      <c r="A82" s="3" t="s">
        <v>254</v>
      </c>
      <c r="B82" t="s">
        <v>255</v>
      </c>
      <c r="C82" t="s">
        <v>255</v>
      </c>
      <c r="D82" t="s">
        <v>256</v>
      </c>
      <c r="E82" t="s">
        <v>245</v>
      </c>
      <c r="F82">
        <v>32</v>
      </c>
      <c r="G82" t="s">
        <v>257</v>
      </c>
      <c r="H82" s="6" t="s">
        <v>192</v>
      </c>
      <c r="I82" s="3" t="s">
        <v>160</v>
      </c>
      <c r="J82" s="3" t="s">
        <v>209</v>
      </c>
      <c r="K82" s="3" t="s">
        <v>247</v>
      </c>
      <c r="L82" s="3" t="s">
        <v>77</v>
      </c>
    </row>
    <row r="83" spans="1:12" x14ac:dyDescent="0.25">
      <c r="A83" s="3">
        <v>170</v>
      </c>
      <c r="B83" t="s">
        <v>258</v>
      </c>
      <c r="C83" t="s">
        <v>258</v>
      </c>
      <c r="D83" t="s">
        <v>259</v>
      </c>
      <c r="E83" t="s">
        <v>245</v>
      </c>
      <c r="F83">
        <v>32</v>
      </c>
      <c r="G83" t="s">
        <v>260</v>
      </c>
      <c r="H83" s="6" t="s">
        <v>192</v>
      </c>
      <c r="I83" s="3" t="s">
        <v>160</v>
      </c>
      <c r="J83" s="3" t="s">
        <v>62</v>
      </c>
      <c r="K83" s="3" t="s">
        <v>261</v>
      </c>
      <c r="L83" t="s">
        <v>85</v>
      </c>
    </row>
    <row r="84" spans="1:12" x14ac:dyDescent="0.25">
      <c r="A84" s="3" t="s">
        <v>262</v>
      </c>
      <c r="B84" t="s">
        <v>263</v>
      </c>
      <c r="C84" t="s">
        <v>263</v>
      </c>
      <c r="D84" t="s">
        <v>264</v>
      </c>
      <c r="E84" t="s">
        <v>245</v>
      </c>
      <c r="F84">
        <v>32</v>
      </c>
      <c r="G84" t="s">
        <v>265</v>
      </c>
      <c r="H84" s="6" t="s">
        <v>192</v>
      </c>
      <c r="I84" s="3" t="s">
        <v>160</v>
      </c>
      <c r="J84" s="3" t="s">
        <v>64</v>
      </c>
      <c r="K84" s="3"/>
      <c r="L84" t="s">
        <v>81</v>
      </c>
    </row>
    <row r="85" spans="1:12" x14ac:dyDescent="0.25">
      <c r="A85" s="3" t="s">
        <v>266</v>
      </c>
      <c r="B85" t="s">
        <v>267</v>
      </c>
      <c r="C85" t="s">
        <v>267</v>
      </c>
      <c r="D85" t="s">
        <v>64</v>
      </c>
      <c r="E85" t="s">
        <v>245</v>
      </c>
      <c r="F85">
        <v>32</v>
      </c>
      <c r="G85" t="s">
        <v>268</v>
      </c>
      <c r="H85" s="3" t="s">
        <v>64</v>
      </c>
      <c r="I85" s="3" t="s">
        <v>160</v>
      </c>
      <c r="J85" s="3" t="s">
        <v>62</v>
      </c>
      <c r="K85" s="3" t="s">
        <v>261</v>
      </c>
      <c r="L85" s="3" t="s">
        <v>102</v>
      </c>
    </row>
    <row r="86" spans="1:12" x14ac:dyDescent="0.25">
      <c r="A86" s="3" t="s">
        <v>269</v>
      </c>
      <c r="B86" t="s">
        <v>270</v>
      </c>
      <c r="C86" t="s">
        <v>270</v>
      </c>
      <c r="D86" t="s">
        <v>271</v>
      </c>
      <c r="E86" t="s">
        <v>245</v>
      </c>
      <c r="F86">
        <v>32</v>
      </c>
      <c r="G86" t="s">
        <v>272</v>
      </c>
      <c r="H86" s="6" t="s">
        <v>192</v>
      </c>
      <c r="I86" s="3" t="s">
        <v>160</v>
      </c>
      <c r="J86" s="3" t="s">
        <v>62</v>
      </c>
      <c r="K86" s="3" t="s">
        <v>261</v>
      </c>
      <c r="L86" s="3" t="s">
        <v>102</v>
      </c>
    </row>
    <row r="87" spans="1:12" x14ac:dyDescent="0.25">
      <c r="A87" s="3" t="s">
        <v>273</v>
      </c>
      <c r="B87" t="s">
        <v>274</v>
      </c>
      <c r="C87" t="s">
        <v>274</v>
      </c>
      <c r="D87" t="s">
        <v>271</v>
      </c>
      <c r="E87" t="s">
        <v>245</v>
      </c>
      <c r="F87">
        <v>32</v>
      </c>
      <c r="G87" t="s">
        <v>272</v>
      </c>
      <c r="H87" s="6" t="s">
        <v>192</v>
      </c>
      <c r="I87" s="3" t="s">
        <v>160</v>
      </c>
      <c r="J87" s="3" t="s">
        <v>64</v>
      </c>
      <c r="K87" s="3"/>
      <c r="L87" s="3" t="s">
        <v>102</v>
      </c>
    </row>
    <row r="88" spans="1:12" x14ac:dyDescent="0.25">
      <c r="A88" s="3" t="s">
        <v>275</v>
      </c>
      <c r="B88" t="s">
        <v>276</v>
      </c>
      <c r="C88" t="s">
        <v>276</v>
      </c>
      <c r="D88" t="s">
        <v>277</v>
      </c>
      <c r="E88" t="s">
        <v>245</v>
      </c>
      <c r="F88">
        <v>32</v>
      </c>
      <c r="G88" t="s">
        <v>278</v>
      </c>
      <c r="H88" s="6" t="s">
        <v>4588</v>
      </c>
      <c r="I88" s="3" t="s">
        <v>160</v>
      </c>
      <c r="J88" s="3" t="s">
        <v>64</v>
      </c>
      <c r="K88" s="3"/>
      <c r="L88" t="s">
        <v>171</v>
      </c>
    </row>
    <row r="89" spans="1:12" x14ac:dyDescent="0.25">
      <c r="A89" s="3" t="s">
        <v>279</v>
      </c>
      <c r="B89" t="s">
        <v>280</v>
      </c>
      <c r="C89" t="s">
        <v>280</v>
      </c>
      <c r="D89" t="s">
        <v>264</v>
      </c>
      <c r="E89" t="s">
        <v>245</v>
      </c>
      <c r="F89">
        <v>32</v>
      </c>
      <c r="G89" t="s">
        <v>265</v>
      </c>
      <c r="H89" s="6" t="s">
        <v>4588</v>
      </c>
      <c r="I89" s="3" t="s">
        <v>160</v>
      </c>
      <c r="J89" s="3" t="s">
        <v>281</v>
      </c>
      <c r="K89" s="3" t="s">
        <v>282</v>
      </c>
      <c r="L89" t="s">
        <v>81</v>
      </c>
    </row>
    <row r="90" spans="1:12" x14ac:dyDescent="0.25">
      <c r="A90" s="3" t="s">
        <v>283</v>
      </c>
      <c r="B90" t="s">
        <v>284</v>
      </c>
      <c r="C90" t="s">
        <v>284</v>
      </c>
      <c r="D90" t="s">
        <v>285</v>
      </c>
      <c r="E90" t="s">
        <v>286</v>
      </c>
      <c r="F90">
        <v>64</v>
      </c>
      <c r="G90" t="s">
        <v>287</v>
      </c>
      <c r="H90" s="6" t="s">
        <v>4588</v>
      </c>
      <c r="I90" s="3" t="s">
        <v>160</v>
      </c>
      <c r="J90" s="3" t="s">
        <v>64</v>
      </c>
      <c r="K90" s="3"/>
      <c r="L90" s="3" t="s">
        <v>77</v>
      </c>
    </row>
    <row r="91" spans="1:12" x14ac:dyDescent="0.25">
      <c r="A91" s="3" t="s">
        <v>288</v>
      </c>
      <c r="B91" t="s">
        <v>289</v>
      </c>
      <c r="C91" t="s">
        <v>289</v>
      </c>
      <c r="D91" t="s">
        <v>290</v>
      </c>
      <c r="E91" t="s">
        <v>286</v>
      </c>
      <c r="F91">
        <v>64</v>
      </c>
      <c r="G91" t="s">
        <v>291</v>
      </c>
      <c r="H91" s="6" t="s">
        <v>4588</v>
      </c>
      <c r="I91" s="3" t="s">
        <v>160</v>
      </c>
      <c r="J91" s="3" t="s">
        <v>64</v>
      </c>
      <c r="K91" s="3"/>
      <c r="L91" s="3" t="s">
        <v>77</v>
      </c>
    </row>
    <row r="92" spans="1:12" x14ac:dyDescent="0.25">
      <c r="A92" s="3" t="s">
        <v>292</v>
      </c>
      <c r="B92" t="s">
        <v>293</v>
      </c>
      <c r="C92" t="s">
        <v>293</v>
      </c>
      <c r="D92" t="s">
        <v>294</v>
      </c>
      <c r="E92" t="s">
        <v>286</v>
      </c>
      <c r="F92">
        <v>64</v>
      </c>
      <c r="G92" t="s">
        <v>295</v>
      </c>
      <c r="H92" s="6" t="s">
        <v>4588</v>
      </c>
      <c r="I92" s="3" t="s">
        <v>160</v>
      </c>
      <c r="J92" s="3" t="s">
        <v>64</v>
      </c>
      <c r="K92" s="3"/>
      <c r="L92" t="s">
        <v>95</v>
      </c>
    </row>
    <row r="93" spans="1:12" x14ac:dyDescent="0.25">
      <c r="A93" s="3" t="s">
        <v>4354</v>
      </c>
      <c r="B93" t="s">
        <v>4355</v>
      </c>
      <c r="C93" t="s">
        <v>4355</v>
      </c>
      <c r="D93" t="s">
        <v>4356</v>
      </c>
      <c r="E93" t="s">
        <v>286</v>
      </c>
      <c r="F93">
        <v>64</v>
      </c>
      <c r="G93" t="s">
        <v>4357</v>
      </c>
      <c r="H93" s="6" t="s">
        <v>4588</v>
      </c>
      <c r="I93" s="3" t="s">
        <v>160</v>
      </c>
      <c r="J93" s="3" t="s">
        <v>64</v>
      </c>
      <c r="K93" s="3" t="s">
        <v>282</v>
      </c>
      <c r="L93" t="s">
        <v>81</v>
      </c>
    </row>
  </sheetData>
  <hyperlinks>
    <hyperlink ref="A1" location="contents!A1" display="Contents" xr:uid="{00000000-0004-0000-0100-000000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zoomScaleNormal="100" workbookViewId="0">
      <selection activeCell="H32" sqref="H32"/>
    </sheetView>
  </sheetViews>
  <sheetFormatPr defaultColWidth="8.7109375" defaultRowHeight="15" x14ac:dyDescent="0.25"/>
  <cols>
    <col min="1" max="1" width="24.140625" customWidth="1"/>
    <col min="2" max="3" width="21.28515625" customWidth="1"/>
    <col min="4" max="4" width="26.5703125" customWidth="1"/>
    <col min="5" max="5" width="21.28515625" customWidth="1"/>
    <col min="6" max="6" width="18" customWidth="1"/>
    <col min="7" max="7" width="19.5703125" customWidth="1"/>
    <col min="8" max="8" width="21.42578125" customWidth="1"/>
    <col min="9" max="9" width="18.5703125" customWidth="1"/>
    <col min="14" max="14" width="11.5703125" customWidth="1"/>
  </cols>
  <sheetData>
    <row r="1" spans="1:9" x14ac:dyDescent="0.25">
      <c r="A1" s="2" t="s">
        <v>0</v>
      </c>
      <c r="B1" s="2"/>
      <c r="C1" s="2"/>
    </row>
    <row r="2" spans="1:9" x14ac:dyDescent="0.25">
      <c r="A2" s="1" t="s">
        <v>296</v>
      </c>
    </row>
    <row r="3" spans="1:9" x14ac:dyDescent="0.25">
      <c r="A3" s="5" t="s">
        <v>297</v>
      </c>
      <c r="B3" s="5" t="s">
        <v>298</v>
      </c>
      <c r="C3" s="5" t="s">
        <v>299</v>
      </c>
      <c r="D3" s="5" t="s">
        <v>300</v>
      </c>
      <c r="E3" s="5" t="s">
        <v>301</v>
      </c>
      <c r="F3" s="5" t="s">
        <v>302</v>
      </c>
      <c r="G3" s="5" t="s">
        <v>303</v>
      </c>
      <c r="H3" s="5" t="s">
        <v>304</v>
      </c>
      <c r="I3" s="5" t="s">
        <v>305</v>
      </c>
    </row>
    <row r="4" spans="1:9" x14ac:dyDescent="0.25">
      <c r="A4" s="3" t="s">
        <v>77</v>
      </c>
      <c r="B4" s="3" t="s">
        <v>62</v>
      </c>
      <c r="C4" s="3" t="s">
        <v>306</v>
      </c>
      <c r="D4" t="s">
        <v>307</v>
      </c>
      <c r="E4">
        <v>60</v>
      </c>
      <c r="F4">
        <v>60</v>
      </c>
      <c r="G4">
        <v>10</v>
      </c>
      <c r="H4">
        <v>12</v>
      </c>
      <c r="I4">
        <v>3</v>
      </c>
    </row>
    <row r="5" spans="1:9" x14ac:dyDescent="0.25">
      <c r="A5" s="3" t="s">
        <v>5012</v>
      </c>
      <c r="B5" s="3" t="s">
        <v>62</v>
      </c>
      <c r="C5" s="3" t="s">
        <v>306</v>
      </c>
      <c r="D5" t="s">
        <v>5013</v>
      </c>
      <c r="E5">
        <v>60</v>
      </c>
      <c r="F5">
        <v>60</v>
      </c>
      <c r="G5">
        <v>10</v>
      </c>
      <c r="H5">
        <v>12</v>
      </c>
      <c r="I5">
        <v>3</v>
      </c>
    </row>
    <row r="6" spans="1:9" x14ac:dyDescent="0.25">
      <c r="A6" s="3" t="s">
        <v>308</v>
      </c>
      <c r="B6" s="3" t="s">
        <v>62</v>
      </c>
      <c r="C6" s="3" t="s">
        <v>306</v>
      </c>
      <c r="D6" t="s">
        <v>309</v>
      </c>
      <c r="E6">
        <v>60</v>
      </c>
      <c r="F6">
        <v>60</v>
      </c>
      <c r="G6">
        <v>10</v>
      </c>
      <c r="H6">
        <v>12</v>
      </c>
      <c r="I6">
        <v>3</v>
      </c>
    </row>
    <row r="7" spans="1:9" x14ac:dyDescent="0.25">
      <c r="A7" s="3" t="s">
        <v>5014</v>
      </c>
      <c r="B7" s="3" t="s">
        <v>62</v>
      </c>
      <c r="C7" s="3" t="s">
        <v>306</v>
      </c>
      <c r="D7" t="s">
        <v>5015</v>
      </c>
      <c r="E7">
        <v>60</v>
      </c>
      <c r="F7">
        <v>60</v>
      </c>
      <c r="G7">
        <v>10</v>
      </c>
      <c r="H7">
        <v>12</v>
      </c>
      <c r="I7">
        <v>3</v>
      </c>
    </row>
    <row r="8" spans="1:9" x14ac:dyDescent="0.25">
      <c r="A8" s="3" t="s">
        <v>81</v>
      </c>
      <c r="B8" s="3" t="s">
        <v>310</v>
      </c>
      <c r="C8" s="3" t="s">
        <v>311</v>
      </c>
      <c r="D8" t="s">
        <v>312</v>
      </c>
      <c r="E8">
        <v>90</v>
      </c>
      <c r="F8">
        <v>40</v>
      </c>
      <c r="G8">
        <v>10</v>
      </c>
      <c r="H8">
        <v>0</v>
      </c>
      <c r="I8">
        <v>5</v>
      </c>
    </row>
    <row r="9" spans="1:9" x14ac:dyDescent="0.25">
      <c r="A9" s="3" t="s">
        <v>5016</v>
      </c>
      <c r="B9" s="3" t="s">
        <v>310</v>
      </c>
      <c r="C9" s="3" t="s">
        <v>311</v>
      </c>
      <c r="D9" t="s">
        <v>5017</v>
      </c>
      <c r="E9">
        <v>90</v>
      </c>
      <c r="F9">
        <v>40</v>
      </c>
      <c r="G9">
        <v>10</v>
      </c>
      <c r="H9">
        <v>0</v>
      </c>
      <c r="I9">
        <v>5</v>
      </c>
    </row>
    <row r="10" spans="1:9" x14ac:dyDescent="0.25">
      <c r="A10" s="3" t="s">
        <v>95</v>
      </c>
      <c r="B10" s="3" t="s">
        <v>310</v>
      </c>
      <c r="C10" s="3" t="s">
        <v>311</v>
      </c>
      <c r="D10" t="s">
        <v>313</v>
      </c>
      <c r="E10">
        <v>90</v>
      </c>
      <c r="F10">
        <v>40</v>
      </c>
      <c r="G10">
        <v>10</v>
      </c>
      <c r="H10">
        <v>0</v>
      </c>
      <c r="I10">
        <v>5</v>
      </c>
    </row>
    <row r="11" spans="1:9" x14ac:dyDescent="0.25">
      <c r="A11" s="3" t="s">
        <v>5018</v>
      </c>
      <c r="B11" s="3" t="s">
        <v>310</v>
      </c>
      <c r="C11" s="3" t="s">
        <v>311</v>
      </c>
      <c r="D11" t="s">
        <v>5019</v>
      </c>
      <c r="E11">
        <v>90</v>
      </c>
      <c r="F11">
        <v>40</v>
      </c>
      <c r="G11">
        <v>10</v>
      </c>
      <c r="H11">
        <v>0</v>
      </c>
      <c r="I11">
        <v>5</v>
      </c>
    </row>
    <row r="12" spans="1:9" x14ac:dyDescent="0.25">
      <c r="A12" s="3" t="s">
        <v>314</v>
      </c>
      <c r="B12" s="3" t="s">
        <v>315</v>
      </c>
      <c r="C12" s="3" t="s">
        <v>316</v>
      </c>
      <c r="D12" t="s">
        <v>5029</v>
      </c>
      <c r="E12">
        <v>90</v>
      </c>
      <c r="F12">
        <v>40</v>
      </c>
      <c r="G12">
        <v>10</v>
      </c>
      <c r="H12">
        <v>0</v>
      </c>
      <c r="I12">
        <v>5</v>
      </c>
    </row>
    <row r="13" spans="1:9" x14ac:dyDescent="0.25">
      <c r="A13" s="3" t="s">
        <v>171</v>
      </c>
      <c r="B13" s="3" t="s">
        <v>310</v>
      </c>
      <c r="C13" s="3" t="s">
        <v>311</v>
      </c>
      <c r="D13" t="s">
        <v>313</v>
      </c>
      <c r="E13">
        <v>90</v>
      </c>
      <c r="F13">
        <v>40</v>
      </c>
      <c r="G13">
        <v>10</v>
      </c>
      <c r="H13">
        <v>0</v>
      </c>
      <c r="I13">
        <v>5</v>
      </c>
    </row>
    <row r="14" spans="1:9" x14ac:dyDescent="0.25">
      <c r="A14" s="3" t="s">
        <v>5020</v>
      </c>
      <c r="B14" s="3" t="s">
        <v>310</v>
      </c>
      <c r="C14" s="3" t="s">
        <v>311</v>
      </c>
      <c r="D14" t="s">
        <v>5019</v>
      </c>
      <c r="E14">
        <v>90</v>
      </c>
      <c r="F14">
        <v>40</v>
      </c>
      <c r="G14">
        <v>10</v>
      </c>
      <c r="H14">
        <v>0</v>
      </c>
      <c r="I14">
        <v>5</v>
      </c>
    </row>
    <row r="15" spans="1:9" x14ac:dyDescent="0.25">
      <c r="A15" s="3" t="s">
        <v>85</v>
      </c>
      <c r="B15" s="3" t="s">
        <v>310</v>
      </c>
      <c r="C15" s="3" t="s">
        <v>311</v>
      </c>
      <c r="D15" t="s">
        <v>318</v>
      </c>
      <c r="E15">
        <v>90</v>
      </c>
      <c r="F15">
        <v>40</v>
      </c>
      <c r="G15">
        <v>10</v>
      </c>
      <c r="H15">
        <v>0</v>
      </c>
      <c r="I15">
        <v>5</v>
      </c>
    </row>
    <row r="16" spans="1:9" x14ac:dyDescent="0.25">
      <c r="A16" s="3" t="s">
        <v>5021</v>
      </c>
      <c r="B16" s="3" t="s">
        <v>310</v>
      </c>
      <c r="C16" s="3" t="s">
        <v>311</v>
      </c>
      <c r="D16" t="s">
        <v>5022</v>
      </c>
      <c r="E16">
        <v>90</v>
      </c>
      <c r="F16">
        <v>40</v>
      </c>
      <c r="G16">
        <v>10</v>
      </c>
      <c r="H16">
        <v>0</v>
      </c>
      <c r="I16">
        <v>5</v>
      </c>
    </row>
    <row r="17" spans="1:9" x14ac:dyDescent="0.25">
      <c r="A17" s="3" t="s">
        <v>319</v>
      </c>
      <c r="B17" s="3" t="s">
        <v>315</v>
      </c>
      <c r="C17" s="3" t="s">
        <v>316</v>
      </c>
      <c r="D17" t="s">
        <v>5030</v>
      </c>
      <c r="E17">
        <v>90</v>
      </c>
      <c r="F17">
        <v>40</v>
      </c>
      <c r="G17">
        <v>10</v>
      </c>
      <c r="H17">
        <v>0</v>
      </c>
      <c r="I17">
        <v>5</v>
      </c>
    </row>
    <row r="18" spans="1:9" x14ac:dyDescent="0.25">
      <c r="A18" s="3" t="s">
        <v>102</v>
      </c>
      <c r="B18" s="3" t="s">
        <v>315</v>
      </c>
      <c r="C18" s="3" t="s">
        <v>316</v>
      </c>
      <c r="D18" t="s">
        <v>317</v>
      </c>
      <c r="E18">
        <v>120</v>
      </c>
      <c r="F18">
        <v>20</v>
      </c>
      <c r="G18">
        <v>7</v>
      </c>
      <c r="H18">
        <v>0</v>
      </c>
      <c r="I18">
        <v>2</v>
      </c>
    </row>
    <row r="19" spans="1:9" x14ac:dyDescent="0.25">
      <c r="A19" s="3" t="s">
        <v>5023</v>
      </c>
      <c r="B19" s="3" t="s">
        <v>315</v>
      </c>
      <c r="C19" s="3" t="s">
        <v>316</v>
      </c>
      <c r="D19" t="s">
        <v>5024</v>
      </c>
      <c r="E19">
        <v>120</v>
      </c>
      <c r="F19">
        <v>20</v>
      </c>
      <c r="G19">
        <v>7</v>
      </c>
      <c r="H19">
        <v>0</v>
      </c>
      <c r="I19">
        <v>2</v>
      </c>
    </row>
    <row r="20" spans="1:9" x14ac:dyDescent="0.25">
      <c r="A20" s="3" t="s">
        <v>320</v>
      </c>
      <c r="B20" s="3" t="s">
        <v>315</v>
      </c>
      <c r="C20" s="3" t="s">
        <v>316</v>
      </c>
      <c r="D20" t="s">
        <v>5025</v>
      </c>
      <c r="E20">
        <v>120</v>
      </c>
      <c r="F20">
        <v>20</v>
      </c>
      <c r="G20">
        <v>7</v>
      </c>
      <c r="H20">
        <v>0</v>
      </c>
      <c r="I20">
        <v>2</v>
      </c>
    </row>
    <row r="21" spans="1:9" x14ac:dyDescent="0.25">
      <c r="A21" s="3" t="s">
        <v>321</v>
      </c>
      <c r="B21" s="3" t="s">
        <v>315</v>
      </c>
      <c r="C21" s="3" t="s">
        <v>316</v>
      </c>
      <c r="D21" t="s">
        <v>322</v>
      </c>
      <c r="E21">
        <v>120</v>
      </c>
      <c r="F21">
        <v>20</v>
      </c>
      <c r="G21">
        <v>7</v>
      </c>
      <c r="H21">
        <v>0</v>
      </c>
      <c r="I21">
        <v>2</v>
      </c>
    </row>
    <row r="22" spans="1:9" x14ac:dyDescent="0.25">
      <c r="A22" s="3" t="s">
        <v>323</v>
      </c>
      <c r="B22" s="3" t="s">
        <v>315</v>
      </c>
      <c r="C22" s="3" t="s">
        <v>316</v>
      </c>
      <c r="D22" t="s">
        <v>324</v>
      </c>
      <c r="E22">
        <v>120</v>
      </c>
      <c r="F22">
        <v>20</v>
      </c>
      <c r="G22">
        <v>7</v>
      </c>
      <c r="H22">
        <v>0</v>
      </c>
      <c r="I22">
        <v>2</v>
      </c>
    </row>
    <row r="23" spans="1:9" x14ac:dyDescent="0.25">
      <c r="A23" s="3" t="s">
        <v>325</v>
      </c>
      <c r="B23" s="3" t="s">
        <v>310</v>
      </c>
      <c r="C23" s="3" t="s">
        <v>311</v>
      </c>
      <c r="D23" t="s">
        <v>326</v>
      </c>
      <c r="E23">
        <v>90</v>
      </c>
      <c r="F23">
        <v>40</v>
      </c>
      <c r="G23">
        <v>10</v>
      </c>
      <c r="H23">
        <v>0</v>
      </c>
      <c r="I23">
        <v>5</v>
      </c>
    </row>
    <row r="24" spans="1:9" x14ac:dyDescent="0.25">
      <c r="A24" s="3" t="s">
        <v>327</v>
      </c>
      <c r="B24" s="3" t="s">
        <v>310</v>
      </c>
      <c r="C24" s="3" t="s">
        <v>311</v>
      </c>
      <c r="D24" t="s">
        <v>328</v>
      </c>
      <c r="E24">
        <v>90</v>
      </c>
      <c r="F24">
        <v>40</v>
      </c>
      <c r="G24">
        <v>10</v>
      </c>
      <c r="H24">
        <v>0</v>
      </c>
      <c r="I24">
        <v>5</v>
      </c>
    </row>
    <row r="25" spans="1:9" x14ac:dyDescent="0.25">
      <c r="A25" s="3" t="s">
        <v>329</v>
      </c>
      <c r="B25" s="3" t="s">
        <v>310</v>
      </c>
      <c r="C25" s="3" t="s">
        <v>311</v>
      </c>
      <c r="D25" t="s">
        <v>330</v>
      </c>
      <c r="E25">
        <v>90</v>
      </c>
      <c r="F25">
        <v>40</v>
      </c>
      <c r="G25">
        <v>10</v>
      </c>
      <c r="H25">
        <v>0</v>
      </c>
      <c r="I25">
        <v>5</v>
      </c>
    </row>
    <row r="26" spans="1:9" x14ac:dyDescent="0.25">
      <c r="A26" s="3" t="s">
        <v>331</v>
      </c>
      <c r="B26">
        <v>1</v>
      </c>
      <c r="C26" t="s">
        <v>332</v>
      </c>
      <c r="D26" t="s">
        <v>332</v>
      </c>
      <c r="E26">
        <v>30</v>
      </c>
      <c r="F26">
        <v>25</v>
      </c>
      <c r="G26">
        <v>0</v>
      </c>
      <c r="H26">
        <v>0</v>
      </c>
      <c r="I26">
        <v>0</v>
      </c>
    </row>
    <row r="27" spans="1:9" x14ac:dyDescent="0.25">
      <c r="A27" s="3" t="s">
        <v>333</v>
      </c>
      <c r="B27">
        <v>2</v>
      </c>
      <c r="C27" t="s">
        <v>332</v>
      </c>
      <c r="D27" t="s">
        <v>334</v>
      </c>
      <c r="E27">
        <v>30</v>
      </c>
      <c r="F27">
        <v>25</v>
      </c>
      <c r="G27">
        <v>0</v>
      </c>
      <c r="H27">
        <v>0</v>
      </c>
      <c r="I27">
        <v>0</v>
      </c>
    </row>
    <row r="28" spans="1:9" x14ac:dyDescent="0.25">
      <c r="A28" s="3" t="s">
        <v>335</v>
      </c>
      <c r="B28">
        <v>2</v>
      </c>
      <c r="C28" s="3" t="s">
        <v>336</v>
      </c>
      <c r="D28" t="s">
        <v>337</v>
      </c>
      <c r="E28">
        <v>160</v>
      </c>
      <c r="F28">
        <v>30</v>
      </c>
      <c r="G28">
        <v>0</v>
      </c>
      <c r="H28">
        <v>0</v>
      </c>
      <c r="I28">
        <v>0</v>
      </c>
    </row>
    <row r="29" spans="1:9" x14ac:dyDescent="0.25">
      <c r="A29" s="3" t="s">
        <v>338</v>
      </c>
      <c r="B29">
        <v>1</v>
      </c>
      <c r="C29" s="3" t="s">
        <v>336</v>
      </c>
      <c r="D29" t="s">
        <v>339</v>
      </c>
      <c r="E29">
        <v>160</v>
      </c>
      <c r="F29">
        <v>30</v>
      </c>
      <c r="G29">
        <v>0</v>
      </c>
      <c r="H29">
        <v>0</v>
      </c>
      <c r="I29">
        <v>0</v>
      </c>
    </row>
    <row r="30" spans="1:9" x14ac:dyDescent="0.25">
      <c r="A30" s="3" t="s">
        <v>340</v>
      </c>
      <c r="B30">
        <v>1</v>
      </c>
      <c r="C30" s="3" t="s">
        <v>336</v>
      </c>
      <c r="D30" t="s">
        <v>339</v>
      </c>
      <c r="E30">
        <v>160</v>
      </c>
      <c r="F30">
        <v>30</v>
      </c>
      <c r="G30">
        <v>0</v>
      </c>
      <c r="H30">
        <v>0</v>
      </c>
      <c r="I30">
        <v>0</v>
      </c>
    </row>
    <row r="31" spans="1:9" x14ac:dyDescent="0.25">
      <c r="A31" s="3" t="s">
        <v>341</v>
      </c>
      <c r="B31">
        <v>3</v>
      </c>
      <c r="C31" s="3" t="s">
        <v>336</v>
      </c>
      <c r="D31" t="s">
        <v>337</v>
      </c>
      <c r="E31">
        <v>160</v>
      </c>
      <c r="F31">
        <v>30</v>
      </c>
      <c r="G31">
        <v>0</v>
      </c>
      <c r="H31">
        <v>0</v>
      </c>
      <c r="I31">
        <v>0</v>
      </c>
    </row>
  </sheetData>
  <hyperlinks>
    <hyperlink ref="A1" location="contents!A1" display="Contents" xr:uid="{00000000-0004-0000-0200-000000000000}"/>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51"/>
  <sheetViews>
    <sheetView zoomScaleNormal="100" workbookViewId="0">
      <pane ySplit="3" topLeftCell="A466" activePane="bottomLeft" state="frozen"/>
      <selection pane="bottomLeft" activeCell="T491" sqref="T491"/>
    </sheetView>
  </sheetViews>
  <sheetFormatPr defaultColWidth="8.7109375" defaultRowHeight="15" x14ac:dyDescent="0.25"/>
  <cols>
    <col min="1" max="1" width="27.85546875" style="3" customWidth="1"/>
    <col min="2" max="2" width="21.140625" customWidth="1"/>
    <col min="3" max="3" width="25.42578125" customWidth="1"/>
  </cols>
  <sheetData>
    <row r="1" spans="1:3" x14ac:dyDescent="0.25">
      <c r="A1" s="2" t="s">
        <v>0</v>
      </c>
    </row>
    <row r="2" spans="1:3" x14ac:dyDescent="0.25">
      <c r="A2" s="1" t="s">
        <v>7</v>
      </c>
    </row>
    <row r="3" spans="1:3" x14ac:dyDescent="0.25">
      <c r="A3" s="10" t="s">
        <v>405</v>
      </c>
      <c r="B3" s="11" t="s">
        <v>406</v>
      </c>
      <c r="C3" s="11" t="s">
        <v>407</v>
      </c>
    </row>
    <row r="4" spans="1:3" x14ac:dyDescent="0.25">
      <c r="A4" s="3" t="s">
        <v>408</v>
      </c>
      <c r="B4" t="s">
        <v>409</v>
      </c>
      <c r="C4" t="s">
        <v>410</v>
      </c>
    </row>
    <row r="5" spans="1:3" x14ac:dyDescent="0.25">
      <c r="A5" s="3" t="s">
        <v>411</v>
      </c>
      <c r="B5" t="s">
        <v>409</v>
      </c>
      <c r="C5" t="s">
        <v>410</v>
      </c>
    </row>
    <row r="6" spans="1:3" x14ac:dyDescent="0.25">
      <c r="A6" s="3" t="s">
        <v>412</v>
      </c>
      <c r="B6" t="s">
        <v>409</v>
      </c>
      <c r="C6" t="s">
        <v>410</v>
      </c>
    </row>
    <row r="7" spans="1:3" x14ac:dyDescent="0.25">
      <c r="A7" s="3" t="s">
        <v>413</v>
      </c>
      <c r="B7" t="s">
        <v>409</v>
      </c>
      <c r="C7" t="s">
        <v>410</v>
      </c>
    </row>
    <row r="8" spans="1:3" x14ac:dyDescent="0.25">
      <c r="A8" s="3" t="s">
        <v>414</v>
      </c>
      <c r="B8" t="s">
        <v>409</v>
      </c>
      <c r="C8" t="s">
        <v>410</v>
      </c>
    </row>
    <row r="9" spans="1:3" x14ac:dyDescent="0.25">
      <c r="A9" s="12" t="s">
        <v>415</v>
      </c>
      <c r="B9" t="s">
        <v>409</v>
      </c>
      <c r="C9" t="s">
        <v>410</v>
      </c>
    </row>
    <row r="10" spans="1:3" x14ac:dyDescent="0.25">
      <c r="A10" s="3" t="s">
        <v>416</v>
      </c>
      <c r="B10" t="s">
        <v>333</v>
      </c>
      <c r="C10" t="s">
        <v>417</v>
      </c>
    </row>
    <row r="11" spans="1:3" x14ac:dyDescent="0.25">
      <c r="A11" s="3" t="s">
        <v>418</v>
      </c>
      <c r="B11" t="s">
        <v>333</v>
      </c>
      <c r="C11" t="s">
        <v>419</v>
      </c>
    </row>
    <row r="12" spans="1:3" x14ac:dyDescent="0.25">
      <c r="A12" s="3" t="s">
        <v>420</v>
      </c>
      <c r="B12" t="s">
        <v>333</v>
      </c>
      <c r="C12" t="s">
        <v>421</v>
      </c>
    </row>
    <row r="13" spans="1:3" x14ac:dyDescent="0.25">
      <c r="A13" s="3" t="s">
        <v>422</v>
      </c>
      <c r="B13" t="s">
        <v>333</v>
      </c>
      <c r="C13" t="s">
        <v>421</v>
      </c>
    </row>
    <row r="14" spans="1:3" x14ac:dyDescent="0.25">
      <c r="A14" s="12" t="s">
        <v>423</v>
      </c>
      <c r="B14" t="s">
        <v>333</v>
      </c>
      <c r="C14" t="s">
        <v>417</v>
      </c>
    </row>
    <row r="15" spans="1:3" x14ac:dyDescent="0.25">
      <c r="A15" s="3" t="s">
        <v>424</v>
      </c>
      <c r="B15" t="s">
        <v>333</v>
      </c>
      <c r="C15" t="s">
        <v>417</v>
      </c>
    </row>
    <row r="16" spans="1:3" x14ac:dyDescent="0.25">
      <c r="A16" s="3" t="s">
        <v>425</v>
      </c>
      <c r="B16" t="s">
        <v>333</v>
      </c>
      <c r="C16" t="s">
        <v>417</v>
      </c>
    </row>
    <row r="17" spans="1:3" x14ac:dyDescent="0.25">
      <c r="A17" s="3" t="s">
        <v>426</v>
      </c>
      <c r="B17" t="s">
        <v>333</v>
      </c>
      <c r="C17" t="s">
        <v>417</v>
      </c>
    </row>
    <row r="18" spans="1:3" x14ac:dyDescent="0.25">
      <c r="A18" s="13" t="s">
        <v>427</v>
      </c>
      <c r="B18" t="s">
        <v>333</v>
      </c>
      <c r="C18" t="s">
        <v>417</v>
      </c>
    </row>
    <row r="19" spans="1:3" x14ac:dyDescent="0.25">
      <c r="A19" s="3" t="s">
        <v>428</v>
      </c>
      <c r="B19" t="s">
        <v>333</v>
      </c>
      <c r="C19" t="s">
        <v>429</v>
      </c>
    </row>
    <row r="20" spans="1:3" x14ac:dyDescent="0.25">
      <c r="A20" s="3" t="s">
        <v>430</v>
      </c>
      <c r="B20" t="s">
        <v>431</v>
      </c>
      <c r="C20" t="s">
        <v>432</v>
      </c>
    </row>
    <row r="21" spans="1:3" x14ac:dyDescent="0.25">
      <c r="A21" s="3" t="s">
        <v>433</v>
      </c>
      <c r="B21" t="s">
        <v>335</v>
      </c>
      <c r="C21" t="s">
        <v>434</v>
      </c>
    </row>
    <row r="22" spans="1:3" x14ac:dyDescent="0.25">
      <c r="A22" s="12" t="s">
        <v>435</v>
      </c>
      <c r="B22" t="s">
        <v>335</v>
      </c>
      <c r="C22" t="s">
        <v>434</v>
      </c>
    </row>
    <row r="23" spans="1:3" x14ac:dyDescent="0.25">
      <c r="A23" s="3" t="s">
        <v>436</v>
      </c>
      <c r="B23" t="s">
        <v>335</v>
      </c>
      <c r="C23" t="s">
        <v>437</v>
      </c>
    </row>
    <row r="24" spans="1:3" x14ac:dyDescent="0.25">
      <c r="A24" s="3" t="s">
        <v>438</v>
      </c>
      <c r="B24" t="s">
        <v>335</v>
      </c>
      <c r="C24" t="s">
        <v>439</v>
      </c>
    </row>
    <row r="25" spans="1:3" x14ac:dyDescent="0.25">
      <c r="A25" s="3" t="s">
        <v>440</v>
      </c>
      <c r="B25" t="s">
        <v>335</v>
      </c>
      <c r="C25" t="s">
        <v>437</v>
      </c>
    </row>
    <row r="26" spans="1:3" x14ac:dyDescent="0.25">
      <c r="A26" s="3" t="s">
        <v>441</v>
      </c>
      <c r="B26" t="s">
        <v>335</v>
      </c>
      <c r="C26" t="s">
        <v>434</v>
      </c>
    </row>
    <row r="27" spans="1:3" x14ac:dyDescent="0.25">
      <c r="A27" s="3" t="s">
        <v>442</v>
      </c>
      <c r="B27" t="s">
        <v>335</v>
      </c>
      <c r="C27" t="s">
        <v>437</v>
      </c>
    </row>
    <row r="28" spans="1:3" x14ac:dyDescent="0.25">
      <c r="A28" s="3" t="s">
        <v>443</v>
      </c>
      <c r="B28" t="s">
        <v>335</v>
      </c>
      <c r="C28" t="s">
        <v>335</v>
      </c>
    </row>
    <row r="29" spans="1:3" x14ac:dyDescent="0.25">
      <c r="A29" s="3" t="s">
        <v>444</v>
      </c>
      <c r="B29" t="s">
        <v>335</v>
      </c>
      <c r="C29" t="s">
        <v>434</v>
      </c>
    </row>
    <row r="30" spans="1:3" x14ac:dyDescent="0.25">
      <c r="A30" s="14" t="s">
        <v>445</v>
      </c>
      <c r="B30" t="s">
        <v>431</v>
      </c>
      <c r="C30" t="s">
        <v>446</v>
      </c>
    </row>
    <row r="31" spans="1:3" x14ac:dyDescent="0.25">
      <c r="A31" s="3" t="s">
        <v>447</v>
      </c>
      <c r="B31" t="s">
        <v>335</v>
      </c>
      <c r="C31" t="s">
        <v>434</v>
      </c>
    </row>
    <row r="32" spans="1:3" x14ac:dyDescent="0.25">
      <c r="A32" s="3" t="s">
        <v>448</v>
      </c>
      <c r="B32" t="s">
        <v>335</v>
      </c>
      <c r="C32" t="s">
        <v>437</v>
      </c>
    </row>
    <row r="33" spans="1:3" x14ac:dyDescent="0.25">
      <c r="A33" s="3" t="s">
        <v>449</v>
      </c>
      <c r="B33" t="s">
        <v>335</v>
      </c>
      <c r="C33" t="s">
        <v>437</v>
      </c>
    </row>
    <row r="34" spans="1:3" x14ac:dyDescent="0.25">
      <c r="A34" s="3" t="s">
        <v>450</v>
      </c>
      <c r="B34" t="s">
        <v>335</v>
      </c>
      <c r="C34" t="s">
        <v>437</v>
      </c>
    </row>
    <row r="35" spans="1:3" x14ac:dyDescent="0.25">
      <c r="A35" s="3" t="s">
        <v>451</v>
      </c>
      <c r="B35" t="s">
        <v>335</v>
      </c>
      <c r="C35" t="s">
        <v>437</v>
      </c>
    </row>
    <row r="36" spans="1:3" x14ac:dyDescent="0.25">
      <c r="A36" s="3" t="s">
        <v>452</v>
      </c>
      <c r="B36" t="s">
        <v>335</v>
      </c>
      <c r="C36" t="s">
        <v>335</v>
      </c>
    </row>
    <row r="37" spans="1:3" x14ac:dyDescent="0.25">
      <c r="A37" s="3" t="s">
        <v>453</v>
      </c>
      <c r="B37" t="s">
        <v>431</v>
      </c>
      <c r="C37" t="s">
        <v>454</v>
      </c>
    </row>
    <row r="38" spans="1:3" x14ac:dyDescent="0.25">
      <c r="A38" s="3" t="s">
        <v>455</v>
      </c>
      <c r="B38" t="s">
        <v>335</v>
      </c>
      <c r="C38" t="s">
        <v>437</v>
      </c>
    </row>
    <row r="39" spans="1:3" x14ac:dyDescent="0.25">
      <c r="A39" s="3" t="s">
        <v>456</v>
      </c>
      <c r="B39" t="s">
        <v>335</v>
      </c>
      <c r="C39" t="s">
        <v>437</v>
      </c>
    </row>
    <row r="40" spans="1:3" x14ac:dyDescent="0.25">
      <c r="A40" s="3" t="s">
        <v>457</v>
      </c>
      <c r="B40" t="s">
        <v>335</v>
      </c>
      <c r="C40" t="s">
        <v>437</v>
      </c>
    </row>
    <row r="41" spans="1:3" x14ac:dyDescent="0.25">
      <c r="A41" s="3" t="s">
        <v>458</v>
      </c>
      <c r="B41" t="s">
        <v>431</v>
      </c>
      <c r="C41" t="s">
        <v>454</v>
      </c>
    </row>
    <row r="42" spans="1:3" x14ac:dyDescent="0.25">
      <c r="A42" s="12" t="s">
        <v>459</v>
      </c>
      <c r="B42" t="s">
        <v>333</v>
      </c>
      <c r="C42" t="s">
        <v>429</v>
      </c>
    </row>
    <row r="43" spans="1:3" x14ac:dyDescent="0.25">
      <c r="A43" s="3" t="s">
        <v>460</v>
      </c>
      <c r="B43" t="s">
        <v>335</v>
      </c>
      <c r="C43" t="s">
        <v>437</v>
      </c>
    </row>
    <row r="44" spans="1:3" x14ac:dyDescent="0.25">
      <c r="A44" s="3" t="s">
        <v>461</v>
      </c>
      <c r="B44" t="s">
        <v>335</v>
      </c>
      <c r="C44" t="s">
        <v>437</v>
      </c>
    </row>
    <row r="45" spans="1:3" x14ac:dyDescent="0.25">
      <c r="A45" s="3" t="s">
        <v>462</v>
      </c>
      <c r="B45" t="s">
        <v>335</v>
      </c>
      <c r="C45" t="s">
        <v>437</v>
      </c>
    </row>
    <row r="46" spans="1:3" x14ac:dyDescent="0.25">
      <c r="A46" s="3" t="s">
        <v>463</v>
      </c>
      <c r="B46" t="s">
        <v>431</v>
      </c>
      <c r="C46" t="s">
        <v>464</v>
      </c>
    </row>
    <row r="47" spans="1:3" x14ac:dyDescent="0.25">
      <c r="A47" s="3" t="s">
        <v>465</v>
      </c>
      <c r="B47" t="s">
        <v>335</v>
      </c>
      <c r="C47" t="s">
        <v>335</v>
      </c>
    </row>
    <row r="48" spans="1:3" x14ac:dyDescent="0.25">
      <c r="A48" s="3" t="s">
        <v>466</v>
      </c>
      <c r="B48" t="s">
        <v>335</v>
      </c>
      <c r="C48" t="s">
        <v>467</v>
      </c>
    </row>
    <row r="49" spans="1:3" x14ac:dyDescent="0.25">
      <c r="A49" s="3" t="s">
        <v>468</v>
      </c>
      <c r="B49" t="s">
        <v>335</v>
      </c>
      <c r="C49" t="s">
        <v>335</v>
      </c>
    </row>
    <row r="50" spans="1:3" x14ac:dyDescent="0.25">
      <c r="A50" s="3" t="s">
        <v>469</v>
      </c>
      <c r="B50" t="s">
        <v>335</v>
      </c>
      <c r="C50" t="s">
        <v>335</v>
      </c>
    </row>
    <row r="51" spans="1:3" x14ac:dyDescent="0.25">
      <c r="A51" s="3" t="s">
        <v>470</v>
      </c>
      <c r="B51" t="s">
        <v>335</v>
      </c>
      <c r="C51" t="s">
        <v>437</v>
      </c>
    </row>
    <row r="52" spans="1:3" x14ac:dyDescent="0.25">
      <c r="A52" s="3" t="s">
        <v>471</v>
      </c>
      <c r="B52" t="s">
        <v>472</v>
      </c>
      <c r="C52" t="s">
        <v>410</v>
      </c>
    </row>
    <row r="53" spans="1:3" x14ac:dyDescent="0.25">
      <c r="A53" s="3" t="s">
        <v>473</v>
      </c>
      <c r="B53" t="s">
        <v>472</v>
      </c>
      <c r="C53" t="s">
        <v>410</v>
      </c>
    </row>
    <row r="54" spans="1:3" x14ac:dyDescent="0.25">
      <c r="A54" s="3" t="s">
        <v>474</v>
      </c>
      <c r="B54" t="s">
        <v>475</v>
      </c>
      <c r="C54" t="s">
        <v>476</v>
      </c>
    </row>
    <row r="55" spans="1:3" x14ac:dyDescent="0.25">
      <c r="A55" s="3" t="s">
        <v>477</v>
      </c>
      <c r="B55" t="s">
        <v>475</v>
      </c>
      <c r="C55" t="s">
        <v>478</v>
      </c>
    </row>
    <row r="56" spans="1:3" x14ac:dyDescent="0.25">
      <c r="A56" s="3" t="s">
        <v>479</v>
      </c>
      <c r="B56" t="s">
        <v>475</v>
      </c>
      <c r="C56" t="s">
        <v>480</v>
      </c>
    </row>
    <row r="57" spans="1:3" x14ac:dyDescent="0.25">
      <c r="A57" s="3" t="s">
        <v>481</v>
      </c>
      <c r="B57" t="s">
        <v>475</v>
      </c>
      <c r="C57" t="s">
        <v>482</v>
      </c>
    </row>
    <row r="58" spans="1:3" x14ac:dyDescent="0.25">
      <c r="A58" s="3" t="s">
        <v>483</v>
      </c>
      <c r="B58" t="s">
        <v>331</v>
      </c>
      <c r="C58" t="s">
        <v>484</v>
      </c>
    </row>
    <row r="59" spans="1:3" x14ac:dyDescent="0.25">
      <c r="A59" s="3" t="s">
        <v>485</v>
      </c>
      <c r="B59" t="s">
        <v>331</v>
      </c>
      <c r="C59" t="s">
        <v>484</v>
      </c>
    </row>
    <row r="60" spans="1:3" x14ac:dyDescent="0.25">
      <c r="A60" s="3" t="s">
        <v>486</v>
      </c>
      <c r="B60" t="s">
        <v>331</v>
      </c>
      <c r="C60" t="s">
        <v>487</v>
      </c>
    </row>
    <row r="61" spans="1:3" x14ac:dyDescent="0.25">
      <c r="A61" s="3" t="s">
        <v>488</v>
      </c>
      <c r="B61" t="s">
        <v>331</v>
      </c>
      <c r="C61" t="s">
        <v>487</v>
      </c>
    </row>
    <row r="62" spans="1:3" x14ac:dyDescent="0.25">
      <c r="A62" s="13" t="s">
        <v>489</v>
      </c>
      <c r="B62" t="s">
        <v>331</v>
      </c>
      <c r="C62" t="s">
        <v>487</v>
      </c>
    </row>
    <row r="63" spans="1:3" x14ac:dyDescent="0.25">
      <c r="A63" s="12" t="s">
        <v>490</v>
      </c>
      <c r="B63" t="s">
        <v>331</v>
      </c>
      <c r="C63" t="s">
        <v>487</v>
      </c>
    </row>
    <row r="64" spans="1:3" x14ac:dyDescent="0.25">
      <c r="A64" s="3" t="s">
        <v>491</v>
      </c>
      <c r="B64" t="s">
        <v>331</v>
      </c>
      <c r="C64" t="s">
        <v>487</v>
      </c>
    </row>
    <row r="65" spans="1:3" x14ac:dyDescent="0.25">
      <c r="A65" s="3" t="s">
        <v>492</v>
      </c>
      <c r="B65" t="s">
        <v>331</v>
      </c>
      <c r="C65" t="s">
        <v>487</v>
      </c>
    </row>
    <row r="66" spans="1:3" x14ac:dyDescent="0.25">
      <c r="A66" s="3" t="s">
        <v>493</v>
      </c>
      <c r="B66" t="s">
        <v>331</v>
      </c>
      <c r="C66" t="s">
        <v>494</v>
      </c>
    </row>
    <row r="67" spans="1:3" x14ac:dyDescent="0.25">
      <c r="A67" s="3" t="s">
        <v>495</v>
      </c>
      <c r="B67" t="s">
        <v>331</v>
      </c>
      <c r="C67" t="s">
        <v>496</v>
      </c>
    </row>
    <row r="68" spans="1:3" x14ac:dyDescent="0.25">
      <c r="A68" s="3" t="s">
        <v>497</v>
      </c>
      <c r="B68" t="s">
        <v>331</v>
      </c>
      <c r="C68" t="s">
        <v>417</v>
      </c>
    </row>
    <row r="69" spans="1:3" x14ac:dyDescent="0.25">
      <c r="A69" s="3" t="s">
        <v>498</v>
      </c>
      <c r="B69" t="s">
        <v>331</v>
      </c>
      <c r="C69" t="s">
        <v>417</v>
      </c>
    </row>
    <row r="70" spans="1:3" x14ac:dyDescent="0.25">
      <c r="A70" s="3" t="s">
        <v>499</v>
      </c>
      <c r="B70" t="s">
        <v>331</v>
      </c>
      <c r="C70" t="s">
        <v>417</v>
      </c>
    </row>
    <row r="71" spans="1:3" x14ac:dyDescent="0.25">
      <c r="A71" s="3" t="s">
        <v>500</v>
      </c>
      <c r="B71" t="s">
        <v>331</v>
      </c>
      <c r="C71" t="s">
        <v>417</v>
      </c>
    </row>
    <row r="72" spans="1:3" x14ac:dyDescent="0.25">
      <c r="A72" s="3" t="s">
        <v>501</v>
      </c>
      <c r="B72" t="s">
        <v>331</v>
      </c>
      <c r="C72" t="s">
        <v>417</v>
      </c>
    </row>
    <row r="73" spans="1:3" x14ac:dyDescent="0.25">
      <c r="A73" s="3" t="s">
        <v>502</v>
      </c>
      <c r="B73" t="s">
        <v>331</v>
      </c>
      <c r="C73" t="s">
        <v>417</v>
      </c>
    </row>
    <row r="74" spans="1:3" x14ac:dyDescent="0.25">
      <c r="A74" s="3" t="s">
        <v>503</v>
      </c>
      <c r="B74" t="s">
        <v>331</v>
      </c>
      <c r="C74" t="s">
        <v>417</v>
      </c>
    </row>
    <row r="75" spans="1:3" x14ac:dyDescent="0.25">
      <c r="A75" s="3" t="s">
        <v>504</v>
      </c>
      <c r="B75" t="s">
        <v>331</v>
      </c>
      <c r="C75" t="s">
        <v>417</v>
      </c>
    </row>
    <row r="76" spans="1:3" x14ac:dyDescent="0.25">
      <c r="A76" s="3" t="s">
        <v>505</v>
      </c>
      <c r="B76" t="s">
        <v>331</v>
      </c>
      <c r="C76" t="s">
        <v>417</v>
      </c>
    </row>
    <row r="77" spans="1:3" x14ac:dyDescent="0.25">
      <c r="A77" s="3" t="s">
        <v>506</v>
      </c>
      <c r="B77" t="s">
        <v>331</v>
      </c>
      <c r="C77" t="s">
        <v>417</v>
      </c>
    </row>
    <row r="78" spans="1:3" x14ac:dyDescent="0.25">
      <c r="A78" s="3" t="s">
        <v>507</v>
      </c>
      <c r="B78" t="s">
        <v>331</v>
      </c>
      <c r="C78" t="s">
        <v>417</v>
      </c>
    </row>
    <row r="79" spans="1:3" x14ac:dyDescent="0.25">
      <c r="A79" s="3" t="s">
        <v>508</v>
      </c>
      <c r="B79" t="s">
        <v>331</v>
      </c>
      <c r="C79" t="s">
        <v>417</v>
      </c>
    </row>
    <row r="80" spans="1:3" x14ac:dyDescent="0.25">
      <c r="A80" s="3" t="s">
        <v>509</v>
      </c>
      <c r="B80" t="s">
        <v>331</v>
      </c>
      <c r="C80" t="s">
        <v>417</v>
      </c>
    </row>
    <row r="81" spans="1:3" x14ac:dyDescent="0.25">
      <c r="A81" s="3" t="s">
        <v>510</v>
      </c>
      <c r="B81" t="s">
        <v>331</v>
      </c>
      <c r="C81" t="s">
        <v>417</v>
      </c>
    </row>
    <row r="82" spans="1:3" x14ac:dyDescent="0.25">
      <c r="A82" s="3" t="s">
        <v>511</v>
      </c>
      <c r="B82" t="s">
        <v>331</v>
      </c>
      <c r="C82" t="s">
        <v>417</v>
      </c>
    </row>
    <row r="83" spans="1:3" x14ac:dyDescent="0.25">
      <c r="A83" s="3" t="s">
        <v>512</v>
      </c>
      <c r="B83" t="s">
        <v>331</v>
      </c>
      <c r="C83" t="s">
        <v>417</v>
      </c>
    </row>
    <row r="84" spans="1:3" x14ac:dyDescent="0.25">
      <c r="A84" s="3" t="s">
        <v>513</v>
      </c>
      <c r="B84" t="s">
        <v>331</v>
      </c>
      <c r="C84" t="s">
        <v>417</v>
      </c>
    </row>
    <row r="85" spans="1:3" x14ac:dyDescent="0.25">
      <c r="A85" s="3" t="s">
        <v>514</v>
      </c>
      <c r="B85" t="s">
        <v>331</v>
      </c>
      <c r="C85" t="s">
        <v>417</v>
      </c>
    </row>
    <row r="86" spans="1:3" x14ac:dyDescent="0.25">
      <c r="A86" s="3" t="s">
        <v>515</v>
      </c>
      <c r="B86" t="s">
        <v>331</v>
      </c>
      <c r="C86" t="s">
        <v>417</v>
      </c>
    </row>
    <row r="87" spans="1:3" x14ac:dyDescent="0.25">
      <c r="A87" s="3" t="s">
        <v>516</v>
      </c>
      <c r="B87" t="s">
        <v>331</v>
      </c>
      <c r="C87" t="s">
        <v>417</v>
      </c>
    </row>
    <row r="88" spans="1:3" x14ac:dyDescent="0.25">
      <c r="A88" s="3" t="s">
        <v>517</v>
      </c>
      <c r="B88" t="s">
        <v>331</v>
      </c>
      <c r="C88" t="s">
        <v>417</v>
      </c>
    </row>
    <row r="89" spans="1:3" x14ac:dyDescent="0.25">
      <c r="A89" s="3" t="s">
        <v>518</v>
      </c>
      <c r="B89" t="s">
        <v>331</v>
      </c>
      <c r="C89" t="s">
        <v>417</v>
      </c>
    </row>
    <row r="90" spans="1:3" x14ac:dyDescent="0.25">
      <c r="A90" s="3" t="s">
        <v>519</v>
      </c>
      <c r="B90" t="s">
        <v>331</v>
      </c>
      <c r="C90" t="s">
        <v>417</v>
      </c>
    </row>
    <row r="91" spans="1:3" x14ac:dyDescent="0.25">
      <c r="A91" s="3" t="s">
        <v>520</v>
      </c>
      <c r="B91" t="s">
        <v>331</v>
      </c>
      <c r="C91" t="s">
        <v>417</v>
      </c>
    </row>
    <row r="92" spans="1:3" x14ac:dyDescent="0.25">
      <c r="A92" s="3" t="s">
        <v>521</v>
      </c>
      <c r="B92" t="s">
        <v>331</v>
      </c>
      <c r="C92" t="s">
        <v>417</v>
      </c>
    </row>
    <row r="93" spans="1:3" x14ac:dyDescent="0.25">
      <c r="A93" s="3" t="s">
        <v>522</v>
      </c>
      <c r="B93" t="s">
        <v>331</v>
      </c>
      <c r="C93" t="s">
        <v>417</v>
      </c>
    </row>
    <row r="94" spans="1:3" x14ac:dyDescent="0.25">
      <c r="A94" s="3" t="s">
        <v>523</v>
      </c>
      <c r="B94" t="s">
        <v>331</v>
      </c>
      <c r="C94" t="s">
        <v>417</v>
      </c>
    </row>
    <row r="95" spans="1:3" x14ac:dyDescent="0.25">
      <c r="A95" s="3" t="s">
        <v>524</v>
      </c>
      <c r="B95" t="s">
        <v>331</v>
      </c>
      <c r="C95" t="s">
        <v>417</v>
      </c>
    </row>
    <row r="96" spans="1:3" x14ac:dyDescent="0.25">
      <c r="A96" s="3" t="s">
        <v>525</v>
      </c>
      <c r="B96" t="s">
        <v>331</v>
      </c>
      <c r="C96" t="s">
        <v>417</v>
      </c>
    </row>
    <row r="97" spans="1:3" x14ac:dyDescent="0.25">
      <c r="A97" s="3" t="s">
        <v>526</v>
      </c>
      <c r="B97" t="s">
        <v>331</v>
      </c>
      <c r="C97" t="s">
        <v>417</v>
      </c>
    </row>
    <row r="98" spans="1:3" x14ac:dyDescent="0.25">
      <c r="A98" s="3" t="s">
        <v>527</v>
      </c>
      <c r="B98" t="s">
        <v>331</v>
      </c>
      <c r="C98" t="s">
        <v>417</v>
      </c>
    </row>
    <row r="99" spans="1:3" x14ac:dyDescent="0.25">
      <c r="A99" s="3" t="s">
        <v>528</v>
      </c>
      <c r="B99" t="s">
        <v>331</v>
      </c>
      <c r="C99" t="s">
        <v>417</v>
      </c>
    </row>
    <row r="100" spans="1:3" x14ac:dyDescent="0.25">
      <c r="A100" s="3" t="s">
        <v>529</v>
      </c>
      <c r="B100" t="s">
        <v>331</v>
      </c>
      <c r="C100" t="s">
        <v>417</v>
      </c>
    </row>
    <row r="101" spans="1:3" x14ac:dyDescent="0.25">
      <c r="A101" s="3" t="s">
        <v>530</v>
      </c>
      <c r="B101" t="s">
        <v>331</v>
      </c>
      <c r="C101" t="s">
        <v>417</v>
      </c>
    </row>
    <row r="102" spans="1:3" x14ac:dyDescent="0.25">
      <c r="A102" s="3" t="s">
        <v>531</v>
      </c>
      <c r="B102" t="s">
        <v>331</v>
      </c>
      <c r="C102" t="s">
        <v>417</v>
      </c>
    </row>
    <row r="103" spans="1:3" x14ac:dyDescent="0.25">
      <c r="A103" s="3" t="s">
        <v>532</v>
      </c>
      <c r="B103" t="s">
        <v>331</v>
      </c>
      <c r="C103" t="s">
        <v>417</v>
      </c>
    </row>
    <row r="104" spans="1:3" x14ac:dyDescent="0.25">
      <c r="A104" s="3" t="s">
        <v>533</v>
      </c>
      <c r="B104" t="s">
        <v>331</v>
      </c>
      <c r="C104" t="s">
        <v>417</v>
      </c>
    </row>
    <row r="105" spans="1:3" x14ac:dyDescent="0.25">
      <c r="A105" s="3" t="s">
        <v>534</v>
      </c>
      <c r="B105" t="s">
        <v>331</v>
      </c>
      <c r="C105" t="s">
        <v>417</v>
      </c>
    </row>
    <row r="106" spans="1:3" x14ac:dyDescent="0.25">
      <c r="A106" s="3" t="s">
        <v>535</v>
      </c>
      <c r="B106" t="s">
        <v>331</v>
      </c>
      <c r="C106" t="s">
        <v>417</v>
      </c>
    </row>
    <row r="107" spans="1:3" x14ac:dyDescent="0.25">
      <c r="A107" s="3" t="s">
        <v>536</v>
      </c>
      <c r="B107" t="s">
        <v>331</v>
      </c>
      <c r="C107" t="s">
        <v>417</v>
      </c>
    </row>
    <row r="108" spans="1:3" x14ac:dyDescent="0.25">
      <c r="A108" s="3" t="s">
        <v>537</v>
      </c>
      <c r="B108" t="s">
        <v>331</v>
      </c>
      <c r="C108" t="s">
        <v>417</v>
      </c>
    </row>
    <row r="109" spans="1:3" x14ac:dyDescent="0.25">
      <c r="A109" s="3" t="s">
        <v>538</v>
      </c>
      <c r="B109" t="s">
        <v>331</v>
      </c>
      <c r="C109" t="s">
        <v>417</v>
      </c>
    </row>
    <row r="110" spans="1:3" x14ac:dyDescent="0.25">
      <c r="A110" s="3" t="s">
        <v>539</v>
      </c>
      <c r="B110" t="s">
        <v>331</v>
      </c>
      <c r="C110" t="s">
        <v>417</v>
      </c>
    </row>
    <row r="111" spans="1:3" x14ac:dyDescent="0.25">
      <c r="A111" s="3" t="s">
        <v>540</v>
      </c>
      <c r="B111" t="s">
        <v>331</v>
      </c>
      <c r="C111" t="s">
        <v>417</v>
      </c>
    </row>
    <row r="112" spans="1:3" x14ac:dyDescent="0.25">
      <c r="A112" s="3" t="s">
        <v>541</v>
      </c>
      <c r="B112" t="s">
        <v>331</v>
      </c>
      <c r="C112" t="s">
        <v>417</v>
      </c>
    </row>
    <row r="113" spans="1:5" x14ac:dyDescent="0.25">
      <c r="A113" s="3" t="s">
        <v>542</v>
      </c>
      <c r="B113" t="s">
        <v>331</v>
      </c>
      <c r="C113" t="s">
        <v>417</v>
      </c>
    </row>
    <row r="114" spans="1:5" x14ac:dyDescent="0.25">
      <c r="A114" s="3" t="s">
        <v>543</v>
      </c>
      <c r="B114" t="s">
        <v>331</v>
      </c>
      <c r="C114" t="s">
        <v>417</v>
      </c>
    </row>
    <row r="115" spans="1:5" x14ac:dyDescent="0.25">
      <c r="A115" s="3" t="s">
        <v>544</v>
      </c>
      <c r="B115" t="s">
        <v>331</v>
      </c>
      <c r="C115" t="s">
        <v>417</v>
      </c>
    </row>
    <row r="116" spans="1:5" x14ac:dyDescent="0.25">
      <c r="A116" s="13" t="s">
        <v>545</v>
      </c>
      <c r="B116" t="s">
        <v>331</v>
      </c>
      <c r="C116" t="s">
        <v>417</v>
      </c>
    </row>
    <row r="117" spans="1:5" x14ac:dyDescent="0.25">
      <c r="A117" s="13" t="s">
        <v>546</v>
      </c>
      <c r="B117" t="s">
        <v>331</v>
      </c>
      <c r="C117" t="s">
        <v>417</v>
      </c>
    </row>
    <row r="118" spans="1:5" x14ac:dyDescent="0.25">
      <c r="A118" s="13" t="s">
        <v>547</v>
      </c>
      <c r="B118" t="s">
        <v>331</v>
      </c>
      <c r="C118" t="s">
        <v>417</v>
      </c>
    </row>
    <row r="119" spans="1:5" x14ac:dyDescent="0.25">
      <c r="A119" s="13" t="s">
        <v>548</v>
      </c>
      <c r="B119" t="s">
        <v>331</v>
      </c>
      <c r="C119" t="s">
        <v>417</v>
      </c>
    </row>
    <row r="120" spans="1:5" x14ac:dyDescent="0.25">
      <c r="A120" s="13" t="s">
        <v>549</v>
      </c>
      <c r="B120" t="s">
        <v>331</v>
      </c>
      <c r="C120" t="s">
        <v>550</v>
      </c>
    </row>
    <row r="121" spans="1:5" x14ac:dyDescent="0.25">
      <c r="A121" s="13" t="s">
        <v>551</v>
      </c>
      <c r="B121" t="s">
        <v>331</v>
      </c>
      <c r="C121" t="s">
        <v>550</v>
      </c>
    </row>
    <row r="122" spans="1:5" x14ac:dyDescent="0.25">
      <c r="A122" s="13" t="s">
        <v>552</v>
      </c>
      <c r="B122" t="s">
        <v>331</v>
      </c>
      <c r="C122" t="s">
        <v>550</v>
      </c>
    </row>
    <row r="123" spans="1:5" x14ac:dyDescent="0.25">
      <c r="A123" s="13" t="s">
        <v>553</v>
      </c>
      <c r="B123" t="s">
        <v>331</v>
      </c>
      <c r="C123" t="s">
        <v>550</v>
      </c>
    </row>
    <row r="124" spans="1:5" x14ac:dyDescent="0.25">
      <c r="E124" s="15"/>
    </row>
    <row r="125" spans="1:5" x14ac:dyDescent="0.25">
      <c r="A125" s="13" t="s">
        <v>554</v>
      </c>
      <c r="B125" t="s">
        <v>331</v>
      </c>
      <c r="C125" t="s">
        <v>417</v>
      </c>
    </row>
    <row r="126" spans="1:5" x14ac:dyDescent="0.25">
      <c r="A126" s="13" t="s">
        <v>555</v>
      </c>
      <c r="B126" t="s">
        <v>331</v>
      </c>
      <c r="C126" t="s">
        <v>417</v>
      </c>
    </row>
    <row r="127" spans="1:5" x14ac:dyDescent="0.25">
      <c r="A127" s="13" t="s">
        <v>556</v>
      </c>
      <c r="B127" t="s">
        <v>331</v>
      </c>
      <c r="C127" t="s">
        <v>417</v>
      </c>
    </row>
    <row r="128" spans="1:5" x14ac:dyDescent="0.25">
      <c r="A128" s="13" t="s">
        <v>557</v>
      </c>
      <c r="B128" t="s">
        <v>331</v>
      </c>
      <c r="C128" t="s">
        <v>417</v>
      </c>
    </row>
    <row r="129" spans="1:3" x14ac:dyDescent="0.25">
      <c r="A129" s="12" t="s">
        <v>558</v>
      </c>
      <c r="B129" t="s">
        <v>331</v>
      </c>
      <c r="C129" t="s">
        <v>417</v>
      </c>
    </row>
    <row r="130" spans="1:3" x14ac:dyDescent="0.25">
      <c r="A130" s="12" t="s">
        <v>559</v>
      </c>
      <c r="B130" t="s">
        <v>331</v>
      </c>
      <c r="C130" t="s">
        <v>417</v>
      </c>
    </row>
    <row r="131" spans="1:3" x14ac:dyDescent="0.25">
      <c r="A131" s="12" t="s">
        <v>560</v>
      </c>
      <c r="B131" t="s">
        <v>331</v>
      </c>
      <c r="C131" t="s">
        <v>417</v>
      </c>
    </row>
    <row r="132" spans="1:3" x14ac:dyDescent="0.25">
      <c r="A132" s="12" t="s">
        <v>561</v>
      </c>
      <c r="B132" t="s">
        <v>331</v>
      </c>
      <c r="C132" t="s">
        <v>417</v>
      </c>
    </row>
    <row r="133" spans="1:3" x14ac:dyDescent="0.25">
      <c r="A133" s="12" t="s">
        <v>562</v>
      </c>
      <c r="B133" t="s">
        <v>331</v>
      </c>
      <c r="C133" t="s">
        <v>417</v>
      </c>
    </row>
    <row r="134" spans="1:3" x14ac:dyDescent="0.25">
      <c r="A134" s="12" t="s">
        <v>563</v>
      </c>
      <c r="B134" t="s">
        <v>331</v>
      </c>
      <c r="C134" t="s">
        <v>417</v>
      </c>
    </row>
    <row r="135" spans="1:3" x14ac:dyDescent="0.25">
      <c r="A135" s="12" t="s">
        <v>564</v>
      </c>
      <c r="B135" t="s">
        <v>331</v>
      </c>
      <c r="C135" t="s">
        <v>417</v>
      </c>
    </row>
    <row r="136" spans="1:3" x14ac:dyDescent="0.25">
      <c r="A136" s="12" t="s">
        <v>565</v>
      </c>
      <c r="B136" t="s">
        <v>331</v>
      </c>
      <c r="C136" t="s">
        <v>417</v>
      </c>
    </row>
    <row r="137" spans="1:3" x14ac:dyDescent="0.25">
      <c r="A137" s="12" t="s">
        <v>566</v>
      </c>
      <c r="B137" t="s">
        <v>331</v>
      </c>
      <c r="C137" t="s">
        <v>417</v>
      </c>
    </row>
    <row r="138" spans="1:3" x14ac:dyDescent="0.25">
      <c r="A138" s="12" t="s">
        <v>567</v>
      </c>
      <c r="B138" t="s">
        <v>331</v>
      </c>
      <c r="C138" t="s">
        <v>417</v>
      </c>
    </row>
    <row r="139" spans="1:3" x14ac:dyDescent="0.25">
      <c r="A139" s="12" t="s">
        <v>568</v>
      </c>
      <c r="B139" t="s">
        <v>331</v>
      </c>
      <c r="C139" t="s">
        <v>417</v>
      </c>
    </row>
    <row r="140" spans="1:3" x14ac:dyDescent="0.25">
      <c r="A140" s="12" t="s">
        <v>569</v>
      </c>
      <c r="B140" t="s">
        <v>331</v>
      </c>
      <c r="C140" t="s">
        <v>417</v>
      </c>
    </row>
    <row r="141" spans="1:3" x14ac:dyDescent="0.25">
      <c r="A141" s="12" t="s">
        <v>570</v>
      </c>
      <c r="B141" t="s">
        <v>331</v>
      </c>
      <c r="C141" t="s">
        <v>417</v>
      </c>
    </row>
    <row r="142" spans="1:3" x14ac:dyDescent="0.25">
      <c r="A142" s="12" t="s">
        <v>571</v>
      </c>
      <c r="B142" t="s">
        <v>331</v>
      </c>
      <c r="C142" t="s">
        <v>417</v>
      </c>
    </row>
    <row r="143" spans="1:3" x14ac:dyDescent="0.25">
      <c r="A143" s="12" t="s">
        <v>572</v>
      </c>
      <c r="B143" t="s">
        <v>331</v>
      </c>
      <c r="C143" t="s">
        <v>417</v>
      </c>
    </row>
    <row r="144" spans="1:3" x14ac:dyDescent="0.25">
      <c r="A144" s="12" t="s">
        <v>573</v>
      </c>
      <c r="B144" t="s">
        <v>331</v>
      </c>
      <c r="C144" t="s">
        <v>417</v>
      </c>
    </row>
    <row r="145" spans="1:3" x14ac:dyDescent="0.25">
      <c r="A145" s="12" t="s">
        <v>574</v>
      </c>
      <c r="B145" t="s">
        <v>331</v>
      </c>
      <c r="C145" t="s">
        <v>417</v>
      </c>
    </row>
    <row r="146" spans="1:3" x14ac:dyDescent="0.25">
      <c r="A146" s="12" t="s">
        <v>575</v>
      </c>
      <c r="B146" t="s">
        <v>331</v>
      </c>
      <c r="C146" t="s">
        <v>417</v>
      </c>
    </row>
    <row r="147" spans="1:3" x14ac:dyDescent="0.25">
      <c r="A147" s="12" t="s">
        <v>576</v>
      </c>
      <c r="B147" t="s">
        <v>331</v>
      </c>
      <c r="C147" t="s">
        <v>417</v>
      </c>
    </row>
    <row r="148" spans="1:3" x14ac:dyDescent="0.25">
      <c r="A148" s="12" t="s">
        <v>577</v>
      </c>
      <c r="B148" t="s">
        <v>331</v>
      </c>
      <c r="C148" t="s">
        <v>417</v>
      </c>
    </row>
    <row r="149" spans="1:3" x14ac:dyDescent="0.25">
      <c r="A149" s="12" t="s">
        <v>578</v>
      </c>
      <c r="B149" t="s">
        <v>331</v>
      </c>
      <c r="C149" t="s">
        <v>417</v>
      </c>
    </row>
    <row r="150" spans="1:3" x14ac:dyDescent="0.25">
      <c r="A150" s="12" t="s">
        <v>579</v>
      </c>
      <c r="B150" t="s">
        <v>331</v>
      </c>
      <c r="C150" t="s">
        <v>417</v>
      </c>
    </row>
    <row r="151" spans="1:3" x14ac:dyDescent="0.25">
      <c r="A151" s="12" t="s">
        <v>580</v>
      </c>
      <c r="B151" t="s">
        <v>331</v>
      </c>
      <c r="C151" t="s">
        <v>417</v>
      </c>
    </row>
    <row r="152" spans="1:3" x14ac:dyDescent="0.25">
      <c r="A152" s="12" t="s">
        <v>581</v>
      </c>
      <c r="B152" t="s">
        <v>331</v>
      </c>
      <c r="C152" t="s">
        <v>417</v>
      </c>
    </row>
    <row r="153" spans="1:3" x14ac:dyDescent="0.25">
      <c r="A153" s="12" t="s">
        <v>582</v>
      </c>
      <c r="B153" t="s">
        <v>331</v>
      </c>
      <c r="C153" t="s">
        <v>417</v>
      </c>
    </row>
    <row r="154" spans="1:3" x14ac:dyDescent="0.25">
      <c r="A154" s="12" t="s">
        <v>583</v>
      </c>
      <c r="B154" t="s">
        <v>331</v>
      </c>
      <c r="C154" t="s">
        <v>417</v>
      </c>
    </row>
    <row r="155" spans="1:3" x14ac:dyDescent="0.25">
      <c r="A155" s="12" t="s">
        <v>584</v>
      </c>
      <c r="B155" t="s">
        <v>331</v>
      </c>
      <c r="C155" t="s">
        <v>417</v>
      </c>
    </row>
    <row r="156" spans="1:3" x14ac:dyDescent="0.25">
      <c r="A156" s="12" t="s">
        <v>585</v>
      </c>
      <c r="B156" t="s">
        <v>331</v>
      </c>
      <c r="C156" t="s">
        <v>417</v>
      </c>
    </row>
    <row r="157" spans="1:3" x14ac:dyDescent="0.25">
      <c r="A157" s="12" t="s">
        <v>586</v>
      </c>
      <c r="B157" t="s">
        <v>331</v>
      </c>
      <c r="C157" t="s">
        <v>417</v>
      </c>
    </row>
    <row r="158" spans="1:3" x14ac:dyDescent="0.25">
      <c r="A158" s="12" t="s">
        <v>587</v>
      </c>
      <c r="B158" t="s">
        <v>331</v>
      </c>
      <c r="C158" t="s">
        <v>417</v>
      </c>
    </row>
    <row r="159" spans="1:3" x14ac:dyDescent="0.25">
      <c r="A159" s="12" t="s">
        <v>588</v>
      </c>
      <c r="B159" t="s">
        <v>331</v>
      </c>
      <c r="C159" t="s">
        <v>417</v>
      </c>
    </row>
    <row r="160" spans="1:3" x14ac:dyDescent="0.25">
      <c r="A160" s="12" t="s">
        <v>589</v>
      </c>
      <c r="B160" t="s">
        <v>331</v>
      </c>
      <c r="C160" t="s">
        <v>417</v>
      </c>
    </row>
    <row r="161" spans="1:3" x14ac:dyDescent="0.25">
      <c r="A161" s="12" t="s">
        <v>590</v>
      </c>
      <c r="B161" t="s">
        <v>331</v>
      </c>
      <c r="C161" t="s">
        <v>417</v>
      </c>
    </row>
    <row r="162" spans="1:3" x14ac:dyDescent="0.25">
      <c r="A162" s="16" t="s">
        <v>591</v>
      </c>
      <c r="B162" t="s">
        <v>331</v>
      </c>
      <c r="C162" t="s">
        <v>417</v>
      </c>
    </row>
    <row r="163" spans="1:3" x14ac:dyDescent="0.25">
      <c r="A163" s="16" t="s">
        <v>592</v>
      </c>
      <c r="B163" t="s">
        <v>331</v>
      </c>
      <c r="C163" t="s">
        <v>417</v>
      </c>
    </row>
    <row r="164" spans="1:3" x14ac:dyDescent="0.25">
      <c r="A164" s="16" t="s">
        <v>593</v>
      </c>
      <c r="B164" t="s">
        <v>331</v>
      </c>
      <c r="C164" t="s">
        <v>417</v>
      </c>
    </row>
    <row r="165" spans="1:3" x14ac:dyDescent="0.25">
      <c r="A165" s="16" t="s">
        <v>594</v>
      </c>
      <c r="B165" t="s">
        <v>331</v>
      </c>
      <c r="C165" t="s">
        <v>417</v>
      </c>
    </row>
    <row r="166" spans="1:3" x14ac:dyDescent="0.25">
      <c r="A166" s="12"/>
    </row>
    <row r="167" spans="1:3" x14ac:dyDescent="0.25">
      <c r="A167" s="12"/>
    </row>
    <row r="168" spans="1:3" x14ac:dyDescent="0.25">
      <c r="A168" s="12"/>
    </row>
    <row r="169" spans="1:3" x14ac:dyDescent="0.25">
      <c r="A169" s="12"/>
    </row>
    <row r="170" spans="1:3" x14ac:dyDescent="0.25">
      <c r="A170" s="12"/>
    </row>
    <row r="171" spans="1:3" x14ac:dyDescent="0.25">
      <c r="A171" s="3" t="s">
        <v>595</v>
      </c>
      <c r="B171" t="s">
        <v>331</v>
      </c>
      <c r="C171" t="s">
        <v>494</v>
      </c>
    </row>
    <row r="172" spans="1:3" x14ac:dyDescent="0.25">
      <c r="A172" s="3" t="s">
        <v>596</v>
      </c>
      <c r="B172" t="s">
        <v>331</v>
      </c>
      <c r="C172" t="s">
        <v>494</v>
      </c>
    </row>
    <row r="173" spans="1:3" x14ac:dyDescent="0.25">
      <c r="A173" s="3" t="s">
        <v>597</v>
      </c>
      <c r="B173" t="s">
        <v>331</v>
      </c>
      <c r="C173" t="s">
        <v>598</v>
      </c>
    </row>
    <row r="174" spans="1:3" x14ac:dyDescent="0.25">
      <c r="A174" s="3" t="s">
        <v>599</v>
      </c>
      <c r="B174" t="s">
        <v>331</v>
      </c>
      <c r="C174" t="s">
        <v>598</v>
      </c>
    </row>
    <row r="175" spans="1:3" x14ac:dyDescent="0.25">
      <c r="A175" s="3" t="s">
        <v>600</v>
      </c>
      <c r="B175" t="s">
        <v>331</v>
      </c>
      <c r="C175" t="s">
        <v>598</v>
      </c>
    </row>
    <row r="176" spans="1:3" x14ac:dyDescent="0.25">
      <c r="A176" s="3" t="s">
        <v>601</v>
      </c>
      <c r="B176" t="s">
        <v>331</v>
      </c>
      <c r="C176" t="s">
        <v>598</v>
      </c>
    </row>
    <row r="177" spans="1:3" x14ac:dyDescent="0.25">
      <c r="A177" s="3" t="s">
        <v>602</v>
      </c>
      <c r="B177" t="s">
        <v>331</v>
      </c>
      <c r="C177" t="s">
        <v>598</v>
      </c>
    </row>
    <row r="178" spans="1:3" x14ac:dyDescent="0.25">
      <c r="A178" s="12" t="s">
        <v>603</v>
      </c>
      <c r="B178" t="s">
        <v>331</v>
      </c>
      <c r="C178" t="s">
        <v>598</v>
      </c>
    </row>
    <row r="179" spans="1:3" x14ac:dyDescent="0.25">
      <c r="A179" s="3" t="s">
        <v>604</v>
      </c>
      <c r="B179" t="s">
        <v>331</v>
      </c>
      <c r="C179" t="s">
        <v>605</v>
      </c>
    </row>
    <row r="180" spans="1:3" x14ac:dyDescent="0.25">
      <c r="A180" s="3" t="s">
        <v>606</v>
      </c>
      <c r="B180" t="s">
        <v>331</v>
      </c>
      <c r="C180" t="s">
        <v>605</v>
      </c>
    </row>
    <row r="181" spans="1:3" x14ac:dyDescent="0.25">
      <c r="A181" s="12" t="s">
        <v>607</v>
      </c>
      <c r="B181" t="s">
        <v>331</v>
      </c>
      <c r="C181" t="s">
        <v>605</v>
      </c>
    </row>
    <row r="182" spans="1:3" x14ac:dyDescent="0.25">
      <c r="A182" s="12" t="s">
        <v>608</v>
      </c>
      <c r="B182" t="s">
        <v>331</v>
      </c>
      <c r="C182" t="s">
        <v>605</v>
      </c>
    </row>
    <row r="183" spans="1:3" x14ac:dyDescent="0.25">
      <c r="A183" s="3" t="s">
        <v>609</v>
      </c>
      <c r="B183" t="s">
        <v>331</v>
      </c>
      <c r="C183" t="s">
        <v>610</v>
      </c>
    </row>
    <row r="184" spans="1:3" x14ac:dyDescent="0.25">
      <c r="A184" s="3" t="s">
        <v>611</v>
      </c>
      <c r="B184" t="s">
        <v>331</v>
      </c>
      <c r="C184" t="s">
        <v>329</v>
      </c>
    </row>
    <row r="185" spans="1:3" x14ac:dyDescent="0.25">
      <c r="A185" s="3" t="s">
        <v>612</v>
      </c>
      <c r="B185" t="s">
        <v>331</v>
      </c>
      <c r="C185" t="s">
        <v>329</v>
      </c>
    </row>
    <row r="186" spans="1:3" x14ac:dyDescent="0.25">
      <c r="A186" s="3" t="s">
        <v>613</v>
      </c>
      <c r="B186" t="s">
        <v>331</v>
      </c>
      <c r="C186" t="s">
        <v>329</v>
      </c>
    </row>
    <row r="187" spans="1:3" x14ac:dyDescent="0.25">
      <c r="A187" s="3" t="s">
        <v>614</v>
      </c>
      <c r="B187" t="s">
        <v>331</v>
      </c>
      <c r="C187" t="s">
        <v>329</v>
      </c>
    </row>
    <row r="188" spans="1:3" x14ac:dyDescent="0.25">
      <c r="A188" s="3" t="s">
        <v>615</v>
      </c>
      <c r="B188" t="s">
        <v>616</v>
      </c>
      <c r="C188" t="s">
        <v>617</v>
      </c>
    </row>
    <row r="189" spans="1:3" x14ac:dyDescent="0.25">
      <c r="A189" s="3" t="s">
        <v>618</v>
      </c>
      <c r="B189" t="s">
        <v>331</v>
      </c>
      <c r="C189" t="s">
        <v>619</v>
      </c>
    </row>
    <row r="190" spans="1:3" x14ac:dyDescent="0.25">
      <c r="A190" s="3" t="s">
        <v>620</v>
      </c>
      <c r="B190" t="s">
        <v>331</v>
      </c>
      <c r="C190" t="s">
        <v>621</v>
      </c>
    </row>
    <row r="191" spans="1:3" x14ac:dyDescent="0.25">
      <c r="A191" s="3" t="s">
        <v>622</v>
      </c>
      <c r="B191" t="s">
        <v>331</v>
      </c>
      <c r="C191" t="s">
        <v>621</v>
      </c>
    </row>
    <row r="192" spans="1:3" x14ac:dyDescent="0.25">
      <c r="A192" s="3" t="s">
        <v>623</v>
      </c>
      <c r="B192" t="s">
        <v>431</v>
      </c>
      <c r="C192" t="s">
        <v>464</v>
      </c>
    </row>
    <row r="193" spans="1:3" x14ac:dyDescent="0.25">
      <c r="A193" s="3" t="s">
        <v>624</v>
      </c>
      <c r="B193" t="s">
        <v>431</v>
      </c>
      <c r="C193" t="s">
        <v>464</v>
      </c>
    </row>
    <row r="194" spans="1:3" x14ac:dyDescent="0.25">
      <c r="A194" s="3" t="s">
        <v>625</v>
      </c>
      <c r="B194" t="s">
        <v>335</v>
      </c>
      <c r="C194" t="s">
        <v>437</v>
      </c>
    </row>
    <row r="195" spans="1:3" x14ac:dyDescent="0.25">
      <c r="A195" s="3" t="s">
        <v>626</v>
      </c>
      <c r="B195" t="s">
        <v>627</v>
      </c>
      <c r="C195" t="s">
        <v>628</v>
      </c>
    </row>
    <row r="196" spans="1:3" x14ac:dyDescent="0.25">
      <c r="A196" s="3" t="s">
        <v>629</v>
      </c>
      <c r="B196" t="s">
        <v>627</v>
      </c>
      <c r="C196" t="s">
        <v>628</v>
      </c>
    </row>
    <row r="197" spans="1:3" x14ac:dyDescent="0.25">
      <c r="A197" s="13" t="s">
        <v>630</v>
      </c>
      <c r="B197" t="s">
        <v>627</v>
      </c>
      <c r="C197" t="s">
        <v>628</v>
      </c>
    </row>
    <row r="198" spans="1:3" x14ac:dyDescent="0.25">
      <c r="A198" s="3" t="s">
        <v>631</v>
      </c>
      <c r="B198" t="s">
        <v>627</v>
      </c>
      <c r="C198" t="s">
        <v>628</v>
      </c>
    </row>
    <row r="199" spans="1:3" x14ac:dyDescent="0.25">
      <c r="A199" s="3" t="s">
        <v>632</v>
      </c>
      <c r="B199" t="s">
        <v>627</v>
      </c>
      <c r="C199" t="s">
        <v>628</v>
      </c>
    </row>
    <row r="200" spans="1:3" x14ac:dyDescent="0.25">
      <c r="A200" s="3" t="s">
        <v>633</v>
      </c>
      <c r="B200" t="s">
        <v>627</v>
      </c>
      <c r="C200" t="s">
        <v>634</v>
      </c>
    </row>
    <row r="201" spans="1:3" x14ac:dyDescent="0.25">
      <c r="A201" s="3" t="s">
        <v>635</v>
      </c>
      <c r="B201" t="s">
        <v>323</v>
      </c>
      <c r="C201" t="s">
        <v>636</v>
      </c>
    </row>
    <row r="202" spans="1:3" x14ac:dyDescent="0.25">
      <c r="A202" s="3" t="s">
        <v>637</v>
      </c>
      <c r="B202" t="s">
        <v>323</v>
      </c>
      <c r="C202" t="s">
        <v>638</v>
      </c>
    </row>
    <row r="203" spans="1:3" x14ac:dyDescent="0.25">
      <c r="A203" s="17" t="s">
        <v>639</v>
      </c>
      <c r="B203" t="s">
        <v>323</v>
      </c>
      <c r="C203" t="s">
        <v>638</v>
      </c>
    </row>
    <row r="204" spans="1:3" x14ac:dyDescent="0.25">
      <c r="A204" s="3" t="s">
        <v>640</v>
      </c>
      <c r="B204" t="s">
        <v>323</v>
      </c>
      <c r="C204" t="s">
        <v>638</v>
      </c>
    </row>
    <row r="205" spans="1:3" x14ac:dyDescent="0.25">
      <c r="A205" s="17" t="s">
        <v>641</v>
      </c>
      <c r="B205" t="s">
        <v>323</v>
      </c>
      <c r="C205" t="s">
        <v>638</v>
      </c>
    </row>
    <row r="206" spans="1:3" x14ac:dyDescent="0.25">
      <c r="A206" s="3" t="s">
        <v>642</v>
      </c>
      <c r="B206" t="s">
        <v>333</v>
      </c>
      <c r="C206" t="s">
        <v>643</v>
      </c>
    </row>
    <row r="207" spans="1:3" x14ac:dyDescent="0.25">
      <c r="A207" s="3" t="s">
        <v>644</v>
      </c>
      <c r="B207" t="s">
        <v>331</v>
      </c>
      <c r="C207" t="s">
        <v>645</v>
      </c>
    </row>
    <row r="208" spans="1:3" x14ac:dyDescent="0.25">
      <c r="A208" s="3" t="s">
        <v>646</v>
      </c>
      <c r="B208" t="s">
        <v>331</v>
      </c>
      <c r="C208" t="s">
        <v>645</v>
      </c>
    </row>
    <row r="209" spans="1:3" x14ac:dyDescent="0.25">
      <c r="A209" s="12" t="s">
        <v>647</v>
      </c>
      <c r="B209" t="s">
        <v>331</v>
      </c>
      <c r="C209" t="s">
        <v>645</v>
      </c>
    </row>
    <row r="210" spans="1:3" x14ac:dyDescent="0.25">
      <c r="A210" s="12" t="s">
        <v>648</v>
      </c>
      <c r="B210" t="s">
        <v>331</v>
      </c>
      <c r="C210" t="s">
        <v>645</v>
      </c>
    </row>
    <row r="211" spans="1:3" x14ac:dyDescent="0.25">
      <c r="A211" s="18" t="s">
        <v>649</v>
      </c>
      <c r="B211" t="s">
        <v>331</v>
      </c>
      <c r="C211" t="s">
        <v>645</v>
      </c>
    </row>
    <row r="212" spans="1:3" x14ac:dyDescent="0.25">
      <c r="A212" s="18" t="s">
        <v>650</v>
      </c>
      <c r="B212" t="s">
        <v>331</v>
      </c>
      <c r="C212" t="s">
        <v>645</v>
      </c>
    </row>
    <row r="213" spans="1:3" x14ac:dyDescent="0.25">
      <c r="A213" s="18" t="s">
        <v>651</v>
      </c>
      <c r="B213" t="s">
        <v>331</v>
      </c>
      <c r="C213" t="s">
        <v>645</v>
      </c>
    </row>
    <row r="214" spans="1:3" x14ac:dyDescent="0.25">
      <c r="A214" s="3" t="s">
        <v>652</v>
      </c>
      <c r="B214" t="s">
        <v>331</v>
      </c>
      <c r="C214" t="s">
        <v>645</v>
      </c>
    </row>
    <row r="215" spans="1:3" x14ac:dyDescent="0.25">
      <c r="A215" s="12" t="s">
        <v>653</v>
      </c>
      <c r="B215" t="s">
        <v>333</v>
      </c>
      <c r="C215" t="s">
        <v>645</v>
      </c>
    </row>
    <row r="216" spans="1:3" x14ac:dyDescent="0.25">
      <c r="A216" s="3" t="s">
        <v>654</v>
      </c>
      <c r="B216" t="s">
        <v>333</v>
      </c>
      <c r="C216" t="s">
        <v>645</v>
      </c>
    </row>
    <row r="217" spans="1:3" x14ac:dyDescent="0.25">
      <c r="A217" s="3" t="s">
        <v>655</v>
      </c>
      <c r="B217" t="s">
        <v>333</v>
      </c>
      <c r="C217" t="s">
        <v>645</v>
      </c>
    </row>
    <row r="218" spans="1:3" x14ac:dyDescent="0.25">
      <c r="A218" s="3" t="s">
        <v>656</v>
      </c>
      <c r="B218" t="s">
        <v>333</v>
      </c>
      <c r="C218" t="s">
        <v>645</v>
      </c>
    </row>
    <row r="219" spans="1:3" x14ac:dyDescent="0.25">
      <c r="A219" s="3" t="s">
        <v>657</v>
      </c>
      <c r="B219" t="s">
        <v>333</v>
      </c>
      <c r="C219" t="s">
        <v>658</v>
      </c>
    </row>
    <row r="220" spans="1:3" x14ac:dyDescent="0.25">
      <c r="A220" s="3" t="s">
        <v>659</v>
      </c>
      <c r="B220" t="s">
        <v>331</v>
      </c>
      <c r="C220" t="s">
        <v>550</v>
      </c>
    </row>
    <row r="221" spans="1:3" x14ac:dyDescent="0.25">
      <c r="A221" s="3" t="s">
        <v>660</v>
      </c>
      <c r="B221" t="s">
        <v>331</v>
      </c>
      <c r="C221" t="s">
        <v>550</v>
      </c>
    </row>
    <row r="222" spans="1:3" x14ac:dyDescent="0.25">
      <c r="A222" s="3" t="s">
        <v>661</v>
      </c>
      <c r="B222" t="s">
        <v>335</v>
      </c>
      <c r="C222" t="s">
        <v>410</v>
      </c>
    </row>
    <row r="223" spans="1:3" x14ac:dyDescent="0.25">
      <c r="A223" s="17" t="s">
        <v>662</v>
      </c>
      <c r="B223" t="s">
        <v>335</v>
      </c>
      <c r="C223" t="s">
        <v>437</v>
      </c>
    </row>
    <row r="224" spans="1:3" x14ac:dyDescent="0.25">
      <c r="A224" s="19" t="s">
        <v>663</v>
      </c>
      <c r="B224" s="20" t="s">
        <v>431</v>
      </c>
      <c r="C224" s="20" t="s">
        <v>664</v>
      </c>
    </row>
    <row r="225" spans="1:3" x14ac:dyDescent="0.25">
      <c r="A225" s="3" t="s">
        <v>665</v>
      </c>
      <c r="B225" t="s">
        <v>333</v>
      </c>
      <c r="C225" t="s">
        <v>666</v>
      </c>
    </row>
    <row r="226" spans="1:3" x14ac:dyDescent="0.25">
      <c r="A226" s="12" t="s">
        <v>667</v>
      </c>
      <c r="B226" t="s">
        <v>335</v>
      </c>
      <c r="C226" t="s">
        <v>467</v>
      </c>
    </row>
    <row r="227" spans="1:3" x14ac:dyDescent="0.25">
      <c r="A227" s="3" t="s">
        <v>668</v>
      </c>
      <c r="B227" t="s">
        <v>335</v>
      </c>
      <c r="C227" t="s">
        <v>434</v>
      </c>
    </row>
    <row r="228" spans="1:3" x14ac:dyDescent="0.25">
      <c r="A228" s="3" t="s">
        <v>669</v>
      </c>
      <c r="B228" t="s">
        <v>335</v>
      </c>
      <c r="C228" t="s">
        <v>670</v>
      </c>
    </row>
    <row r="229" spans="1:3" x14ac:dyDescent="0.25">
      <c r="A229" s="3" t="s">
        <v>671</v>
      </c>
      <c r="B229" t="s">
        <v>335</v>
      </c>
      <c r="C229" t="s">
        <v>437</v>
      </c>
    </row>
    <row r="230" spans="1:3" x14ac:dyDescent="0.25">
      <c r="A230" s="12" t="s">
        <v>672</v>
      </c>
      <c r="B230" t="s">
        <v>409</v>
      </c>
      <c r="C230" t="s">
        <v>673</v>
      </c>
    </row>
    <row r="231" spans="1:3" x14ac:dyDescent="0.25">
      <c r="A231" s="12" t="s">
        <v>674</v>
      </c>
      <c r="B231" t="s">
        <v>409</v>
      </c>
      <c r="C231" t="s">
        <v>673</v>
      </c>
    </row>
    <row r="232" spans="1:3" x14ac:dyDescent="0.25">
      <c r="A232" s="12" t="s">
        <v>675</v>
      </c>
      <c r="B232" t="s">
        <v>409</v>
      </c>
      <c r="C232" t="s">
        <v>673</v>
      </c>
    </row>
    <row r="233" spans="1:3" x14ac:dyDescent="0.25">
      <c r="A233" s="12" t="s">
        <v>676</v>
      </c>
      <c r="B233" t="s">
        <v>409</v>
      </c>
      <c r="C233" t="s">
        <v>673</v>
      </c>
    </row>
    <row r="234" spans="1:3" x14ac:dyDescent="0.25">
      <c r="A234" s="12" t="s">
        <v>677</v>
      </c>
      <c r="B234" t="s">
        <v>409</v>
      </c>
      <c r="C234" t="s">
        <v>673</v>
      </c>
    </row>
    <row r="235" spans="1:3" x14ac:dyDescent="0.25">
      <c r="A235" s="12" t="s">
        <v>678</v>
      </c>
      <c r="B235" t="s">
        <v>409</v>
      </c>
      <c r="C235" t="s">
        <v>673</v>
      </c>
    </row>
    <row r="236" spans="1:3" x14ac:dyDescent="0.25">
      <c r="A236" s="12" t="s">
        <v>679</v>
      </c>
      <c r="B236" t="s">
        <v>335</v>
      </c>
      <c r="C236" t="s">
        <v>673</v>
      </c>
    </row>
    <row r="237" spans="1:3" x14ac:dyDescent="0.25">
      <c r="A237" s="12" t="s">
        <v>680</v>
      </c>
      <c r="B237" t="s">
        <v>335</v>
      </c>
      <c r="C237" t="s">
        <v>681</v>
      </c>
    </row>
    <row r="238" spans="1:3" x14ac:dyDescent="0.25">
      <c r="A238" s="12" t="s">
        <v>4489</v>
      </c>
      <c r="B238" t="s">
        <v>335</v>
      </c>
      <c r="C238" t="s">
        <v>329</v>
      </c>
    </row>
    <row r="239" spans="1:3" x14ac:dyDescent="0.25">
      <c r="A239" s="12" t="s">
        <v>682</v>
      </c>
      <c r="B239" t="s">
        <v>335</v>
      </c>
      <c r="C239" t="s">
        <v>683</v>
      </c>
    </row>
    <row r="240" spans="1:3" x14ac:dyDescent="0.25">
      <c r="A240" s="13" t="s">
        <v>684</v>
      </c>
      <c r="B240" t="s">
        <v>335</v>
      </c>
      <c r="C240" t="s">
        <v>437</v>
      </c>
    </row>
    <row r="241" spans="1:3" x14ac:dyDescent="0.25">
      <c r="A241" s="13" t="s">
        <v>685</v>
      </c>
      <c r="B241" t="s">
        <v>335</v>
      </c>
      <c r="C241" t="s">
        <v>621</v>
      </c>
    </row>
    <row r="242" spans="1:3" x14ac:dyDescent="0.25">
      <c r="A242" s="13" t="s">
        <v>686</v>
      </c>
      <c r="B242" t="s">
        <v>409</v>
      </c>
      <c r="C242" t="s">
        <v>621</v>
      </c>
    </row>
    <row r="243" spans="1:3" x14ac:dyDescent="0.25">
      <c r="A243" s="12" t="s">
        <v>687</v>
      </c>
      <c r="B243" t="s">
        <v>335</v>
      </c>
      <c r="C243" t="s">
        <v>688</v>
      </c>
    </row>
    <row r="244" spans="1:3" x14ac:dyDescent="0.25">
      <c r="A244" s="12" t="s">
        <v>689</v>
      </c>
      <c r="B244" t="s">
        <v>335</v>
      </c>
      <c r="C244" t="s">
        <v>688</v>
      </c>
    </row>
    <row r="245" spans="1:3" x14ac:dyDescent="0.25">
      <c r="A245" s="12" t="s">
        <v>690</v>
      </c>
      <c r="B245" t="s">
        <v>409</v>
      </c>
      <c r="C245" t="s">
        <v>621</v>
      </c>
    </row>
    <row r="246" spans="1:3" x14ac:dyDescent="0.25">
      <c r="A246" s="13" t="s">
        <v>691</v>
      </c>
      <c r="B246" t="s">
        <v>331</v>
      </c>
      <c r="C246" t="s">
        <v>621</v>
      </c>
    </row>
    <row r="247" spans="1:3" x14ac:dyDescent="0.25">
      <c r="A247" s="13" t="s">
        <v>692</v>
      </c>
      <c r="B247" t="s">
        <v>335</v>
      </c>
      <c r="C247" t="s">
        <v>434</v>
      </c>
    </row>
    <row r="248" spans="1:3" x14ac:dyDescent="0.25">
      <c r="A248" s="17" t="s">
        <v>693</v>
      </c>
      <c r="B248" t="s">
        <v>335</v>
      </c>
      <c r="C248" t="s">
        <v>437</v>
      </c>
    </row>
    <row r="249" spans="1:3" x14ac:dyDescent="0.25">
      <c r="A249" s="12" t="s">
        <v>694</v>
      </c>
      <c r="B249" t="s">
        <v>333</v>
      </c>
      <c r="C249" t="s">
        <v>429</v>
      </c>
    </row>
    <row r="250" spans="1:3" x14ac:dyDescent="0.25">
      <c r="A250" s="12" t="s">
        <v>695</v>
      </c>
      <c r="B250" t="s">
        <v>335</v>
      </c>
      <c r="C250" t="s">
        <v>467</v>
      </c>
    </row>
    <row r="251" spans="1:3" x14ac:dyDescent="0.25">
      <c r="A251" s="12" t="s">
        <v>696</v>
      </c>
      <c r="B251" t="s">
        <v>335</v>
      </c>
      <c r="C251" t="s">
        <v>439</v>
      </c>
    </row>
    <row r="252" spans="1:3" x14ac:dyDescent="0.25">
      <c r="A252" s="12" t="s">
        <v>697</v>
      </c>
      <c r="B252" t="s">
        <v>335</v>
      </c>
      <c r="C252" t="s">
        <v>439</v>
      </c>
    </row>
    <row r="253" spans="1:3" x14ac:dyDescent="0.25">
      <c r="A253" s="12" t="s">
        <v>698</v>
      </c>
      <c r="B253" t="s">
        <v>335</v>
      </c>
      <c r="C253" t="s">
        <v>439</v>
      </c>
    </row>
    <row r="254" spans="1:3" x14ac:dyDescent="0.25">
      <c r="A254" s="12" t="s">
        <v>699</v>
      </c>
      <c r="B254" t="s">
        <v>335</v>
      </c>
      <c r="C254" t="s">
        <v>439</v>
      </c>
    </row>
    <row r="255" spans="1:3" x14ac:dyDescent="0.25">
      <c r="A255" s="12" t="s">
        <v>700</v>
      </c>
      <c r="B255" t="s">
        <v>335</v>
      </c>
      <c r="C255" t="s">
        <v>439</v>
      </c>
    </row>
    <row r="256" spans="1:3" x14ac:dyDescent="0.25">
      <c r="A256" s="12" t="s">
        <v>701</v>
      </c>
      <c r="B256" t="s">
        <v>335</v>
      </c>
      <c r="C256" t="s">
        <v>439</v>
      </c>
    </row>
    <row r="257" spans="1:3" x14ac:dyDescent="0.25">
      <c r="A257" s="12" t="s">
        <v>702</v>
      </c>
      <c r="B257" t="s">
        <v>335</v>
      </c>
      <c r="C257" t="s">
        <v>467</v>
      </c>
    </row>
    <row r="258" spans="1:3" x14ac:dyDescent="0.25">
      <c r="A258" s="12" t="s">
        <v>703</v>
      </c>
      <c r="B258" t="s">
        <v>335</v>
      </c>
      <c r="C258" t="s">
        <v>439</v>
      </c>
    </row>
    <row r="259" spans="1:3" x14ac:dyDescent="0.25">
      <c r="A259" s="12" t="s">
        <v>704</v>
      </c>
      <c r="B259" t="s">
        <v>335</v>
      </c>
      <c r="C259" t="s">
        <v>329</v>
      </c>
    </row>
    <row r="260" spans="1:3" x14ac:dyDescent="0.25">
      <c r="A260" s="12" t="s">
        <v>705</v>
      </c>
      <c r="B260" t="s">
        <v>335</v>
      </c>
      <c r="C260" t="s">
        <v>329</v>
      </c>
    </row>
    <row r="261" spans="1:3" x14ac:dyDescent="0.25">
      <c r="A261" s="12" t="s">
        <v>706</v>
      </c>
      <c r="B261" t="s">
        <v>335</v>
      </c>
      <c r="C261" t="s">
        <v>329</v>
      </c>
    </row>
    <row r="262" spans="1:3" x14ac:dyDescent="0.25">
      <c r="A262" s="12" t="s">
        <v>707</v>
      </c>
      <c r="B262" t="s">
        <v>335</v>
      </c>
      <c r="C262" t="s">
        <v>329</v>
      </c>
    </row>
    <row r="263" spans="1:3" x14ac:dyDescent="0.25">
      <c r="A263" s="12" t="s">
        <v>708</v>
      </c>
      <c r="B263" t="s">
        <v>335</v>
      </c>
      <c r="C263" t="s">
        <v>329</v>
      </c>
    </row>
    <row r="264" spans="1:3" x14ac:dyDescent="0.25">
      <c r="A264" s="12" t="s">
        <v>709</v>
      </c>
      <c r="B264" t="s">
        <v>335</v>
      </c>
      <c r="C264" t="s">
        <v>329</v>
      </c>
    </row>
    <row r="265" spans="1:3" x14ac:dyDescent="0.25">
      <c r="A265" s="12" t="s">
        <v>710</v>
      </c>
      <c r="B265" t="s">
        <v>335</v>
      </c>
      <c r="C265" t="s">
        <v>329</v>
      </c>
    </row>
    <row r="266" spans="1:3" x14ac:dyDescent="0.25">
      <c r="A266" s="12" t="s">
        <v>711</v>
      </c>
      <c r="B266" t="s">
        <v>335</v>
      </c>
      <c r="C266" t="s">
        <v>329</v>
      </c>
    </row>
    <row r="267" spans="1:3" x14ac:dyDescent="0.25">
      <c r="A267" s="12" t="s">
        <v>712</v>
      </c>
      <c r="B267" t="s">
        <v>335</v>
      </c>
      <c r="C267" t="s">
        <v>329</v>
      </c>
    </row>
    <row r="268" spans="1:3" x14ac:dyDescent="0.25">
      <c r="A268" s="12" t="s">
        <v>713</v>
      </c>
      <c r="B268" t="s">
        <v>335</v>
      </c>
      <c r="C268" t="s">
        <v>329</v>
      </c>
    </row>
    <row r="269" spans="1:3" x14ac:dyDescent="0.25">
      <c r="A269" s="12" t="s">
        <v>714</v>
      </c>
      <c r="B269" t="s">
        <v>335</v>
      </c>
      <c r="C269" t="s">
        <v>329</v>
      </c>
    </row>
    <row r="270" spans="1:3" x14ac:dyDescent="0.25">
      <c r="A270" s="12" t="s">
        <v>715</v>
      </c>
      <c r="B270" t="s">
        <v>335</v>
      </c>
      <c r="C270" t="s">
        <v>329</v>
      </c>
    </row>
    <row r="271" spans="1:3" x14ac:dyDescent="0.25">
      <c r="A271" s="12" t="s">
        <v>716</v>
      </c>
      <c r="B271" t="s">
        <v>335</v>
      </c>
      <c r="C271" t="s">
        <v>329</v>
      </c>
    </row>
    <row r="272" spans="1:3" x14ac:dyDescent="0.25">
      <c r="A272" s="12" t="s">
        <v>717</v>
      </c>
      <c r="B272" t="s">
        <v>335</v>
      </c>
      <c r="C272" t="s">
        <v>329</v>
      </c>
    </row>
    <row r="273" spans="1:3" x14ac:dyDescent="0.25">
      <c r="A273" s="12" t="s">
        <v>718</v>
      </c>
      <c r="B273" t="s">
        <v>335</v>
      </c>
      <c r="C273" t="s">
        <v>329</v>
      </c>
    </row>
    <row r="274" spans="1:3" x14ac:dyDescent="0.25">
      <c r="A274" s="12" t="s">
        <v>719</v>
      </c>
      <c r="B274" t="s">
        <v>335</v>
      </c>
      <c r="C274" t="s">
        <v>329</v>
      </c>
    </row>
    <row r="275" spans="1:3" x14ac:dyDescent="0.25">
      <c r="A275" s="12" t="s">
        <v>720</v>
      </c>
      <c r="B275" t="s">
        <v>335</v>
      </c>
      <c r="C275" t="s">
        <v>329</v>
      </c>
    </row>
    <row r="276" spans="1:3" x14ac:dyDescent="0.25">
      <c r="A276" s="12" t="s">
        <v>721</v>
      </c>
      <c r="B276" t="s">
        <v>335</v>
      </c>
      <c r="C276" t="s">
        <v>329</v>
      </c>
    </row>
    <row r="277" spans="1:3" x14ac:dyDescent="0.25">
      <c r="A277" s="12" t="s">
        <v>722</v>
      </c>
      <c r="B277" t="s">
        <v>335</v>
      </c>
      <c r="C277" t="s">
        <v>329</v>
      </c>
    </row>
    <row r="278" spans="1:3" x14ac:dyDescent="0.25">
      <c r="A278" s="12" t="s">
        <v>723</v>
      </c>
      <c r="B278" t="s">
        <v>335</v>
      </c>
      <c r="C278" t="s">
        <v>329</v>
      </c>
    </row>
    <row r="279" spans="1:3" x14ac:dyDescent="0.25">
      <c r="A279" s="12" t="s">
        <v>724</v>
      </c>
      <c r="B279" t="s">
        <v>335</v>
      </c>
      <c r="C279" t="s">
        <v>329</v>
      </c>
    </row>
    <row r="280" spans="1:3" x14ac:dyDescent="0.25">
      <c r="A280" s="12" t="s">
        <v>725</v>
      </c>
      <c r="B280" t="s">
        <v>335</v>
      </c>
      <c r="C280" t="s">
        <v>329</v>
      </c>
    </row>
    <row r="281" spans="1:3" x14ac:dyDescent="0.25">
      <c r="A281" s="13" t="s">
        <v>726</v>
      </c>
      <c r="B281" t="s">
        <v>335</v>
      </c>
      <c r="C281" t="s">
        <v>329</v>
      </c>
    </row>
    <row r="282" spans="1:3" x14ac:dyDescent="0.25">
      <c r="A282" s="13" t="s">
        <v>727</v>
      </c>
      <c r="B282" t="s">
        <v>335</v>
      </c>
      <c r="C282" t="s">
        <v>329</v>
      </c>
    </row>
    <row r="283" spans="1:3" x14ac:dyDescent="0.25">
      <c r="A283" s="12" t="s">
        <v>728</v>
      </c>
      <c r="B283" t="s">
        <v>335</v>
      </c>
      <c r="C283" t="s">
        <v>329</v>
      </c>
    </row>
    <row r="284" spans="1:3" x14ac:dyDescent="0.25">
      <c r="A284" s="12" t="s">
        <v>729</v>
      </c>
      <c r="B284" t="s">
        <v>335</v>
      </c>
      <c r="C284" t="s">
        <v>329</v>
      </c>
    </row>
    <row r="285" spans="1:3" x14ac:dyDescent="0.25">
      <c r="A285" s="12" t="s">
        <v>730</v>
      </c>
      <c r="B285" t="s">
        <v>335</v>
      </c>
      <c r="C285" t="s">
        <v>329</v>
      </c>
    </row>
    <row r="286" spans="1:3" x14ac:dyDescent="0.25">
      <c r="A286" s="12" t="s">
        <v>5141</v>
      </c>
      <c r="B286" t="s">
        <v>335</v>
      </c>
      <c r="C286" t="s">
        <v>329</v>
      </c>
    </row>
    <row r="287" spans="1:3" x14ac:dyDescent="0.25">
      <c r="A287" s="12" t="s">
        <v>731</v>
      </c>
      <c r="B287" t="s">
        <v>335</v>
      </c>
      <c r="C287" t="s">
        <v>437</v>
      </c>
    </row>
    <row r="288" spans="1:3" x14ac:dyDescent="0.25">
      <c r="A288" s="12" t="s">
        <v>732</v>
      </c>
      <c r="B288" t="s">
        <v>335</v>
      </c>
      <c r="C288" t="s">
        <v>439</v>
      </c>
    </row>
    <row r="289" spans="1:3" x14ac:dyDescent="0.25">
      <c r="A289" s="12" t="s">
        <v>733</v>
      </c>
      <c r="B289" t="s">
        <v>335</v>
      </c>
      <c r="C289" t="s">
        <v>439</v>
      </c>
    </row>
    <row r="290" spans="1:3" x14ac:dyDescent="0.25">
      <c r="A290" s="12" t="s">
        <v>734</v>
      </c>
      <c r="B290" t="s">
        <v>335</v>
      </c>
      <c r="C290" t="s">
        <v>439</v>
      </c>
    </row>
    <row r="291" spans="1:3" x14ac:dyDescent="0.25">
      <c r="A291" s="12" t="s">
        <v>735</v>
      </c>
      <c r="B291" t="s">
        <v>335</v>
      </c>
      <c r="C291" t="s">
        <v>439</v>
      </c>
    </row>
    <row r="292" spans="1:3" x14ac:dyDescent="0.25">
      <c r="A292" s="12" t="s">
        <v>736</v>
      </c>
      <c r="B292" t="s">
        <v>335</v>
      </c>
      <c r="C292" t="s">
        <v>467</v>
      </c>
    </row>
    <row r="293" spans="1:3" x14ac:dyDescent="0.25">
      <c r="A293" s="12" t="s">
        <v>737</v>
      </c>
      <c r="B293" t="s">
        <v>335</v>
      </c>
      <c r="C293" t="s">
        <v>467</v>
      </c>
    </row>
    <row r="294" spans="1:3" x14ac:dyDescent="0.25">
      <c r="A294" s="12" t="s">
        <v>738</v>
      </c>
      <c r="B294" t="s">
        <v>335</v>
      </c>
      <c r="C294" t="s">
        <v>439</v>
      </c>
    </row>
    <row r="295" spans="1:3" x14ac:dyDescent="0.25">
      <c r="A295" s="12" t="s">
        <v>739</v>
      </c>
      <c r="B295" t="s">
        <v>335</v>
      </c>
      <c r="C295" t="s">
        <v>439</v>
      </c>
    </row>
    <row r="296" spans="1:3" x14ac:dyDescent="0.25">
      <c r="A296" s="12" t="s">
        <v>740</v>
      </c>
      <c r="B296" t="s">
        <v>335</v>
      </c>
      <c r="C296" t="s">
        <v>329</v>
      </c>
    </row>
    <row r="297" spans="1:3" x14ac:dyDescent="0.25">
      <c r="A297" s="12" t="s">
        <v>741</v>
      </c>
      <c r="B297" t="s">
        <v>335</v>
      </c>
      <c r="C297" t="s">
        <v>329</v>
      </c>
    </row>
    <row r="298" spans="1:3" x14ac:dyDescent="0.25">
      <c r="A298" s="12" t="s">
        <v>742</v>
      </c>
      <c r="B298" t="s">
        <v>431</v>
      </c>
      <c r="C298" t="s">
        <v>743</v>
      </c>
    </row>
    <row r="299" spans="1:3" x14ac:dyDescent="0.25">
      <c r="A299" s="12" t="s">
        <v>744</v>
      </c>
      <c r="B299" t="s">
        <v>333</v>
      </c>
      <c r="C299" t="s">
        <v>645</v>
      </c>
    </row>
    <row r="300" spans="1:3" x14ac:dyDescent="0.25">
      <c r="A300" s="12" t="s">
        <v>745</v>
      </c>
      <c r="B300" t="s">
        <v>333</v>
      </c>
      <c r="C300" t="s">
        <v>645</v>
      </c>
    </row>
    <row r="301" spans="1:3" x14ac:dyDescent="0.25">
      <c r="A301" s="12" t="s">
        <v>746</v>
      </c>
      <c r="B301" t="s">
        <v>333</v>
      </c>
      <c r="C301" t="s">
        <v>645</v>
      </c>
    </row>
    <row r="302" spans="1:3" x14ac:dyDescent="0.25">
      <c r="A302" s="12" t="s">
        <v>747</v>
      </c>
      <c r="B302" t="s">
        <v>331</v>
      </c>
      <c r="C302" t="s">
        <v>748</v>
      </c>
    </row>
    <row r="303" spans="1:3" x14ac:dyDescent="0.25">
      <c r="A303" s="12" t="s">
        <v>749</v>
      </c>
      <c r="B303" t="s">
        <v>331</v>
      </c>
      <c r="C303" t="s">
        <v>748</v>
      </c>
    </row>
    <row r="304" spans="1:3" x14ac:dyDescent="0.25">
      <c r="A304" s="12" t="s">
        <v>4488</v>
      </c>
      <c r="B304" t="s">
        <v>331</v>
      </c>
      <c r="C304" t="s">
        <v>748</v>
      </c>
    </row>
    <row r="305" spans="1:3" x14ac:dyDescent="0.25">
      <c r="A305" s="12" t="s">
        <v>750</v>
      </c>
      <c r="B305" t="s">
        <v>335</v>
      </c>
      <c r="C305" t="s">
        <v>329</v>
      </c>
    </row>
    <row r="306" spans="1:3" x14ac:dyDescent="0.25">
      <c r="A306" s="12" t="s">
        <v>751</v>
      </c>
      <c r="B306" t="s">
        <v>331</v>
      </c>
      <c r="C306" t="s">
        <v>752</v>
      </c>
    </row>
    <row r="307" spans="1:3" x14ac:dyDescent="0.25">
      <c r="A307" s="12" t="s">
        <v>753</v>
      </c>
      <c r="B307" t="s">
        <v>331</v>
      </c>
      <c r="C307" t="s">
        <v>752</v>
      </c>
    </row>
    <row r="308" spans="1:3" x14ac:dyDescent="0.25">
      <c r="A308" s="12" t="s">
        <v>754</v>
      </c>
      <c r="B308" t="s">
        <v>335</v>
      </c>
      <c r="C308" t="s">
        <v>329</v>
      </c>
    </row>
    <row r="309" spans="1:3" x14ac:dyDescent="0.25">
      <c r="A309" s="13" t="s">
        <v>755</v>
      </c>
      <c r="B309" t="s">
        <v>331</v>
      </c>
      <c r="C309" t="s">
        <v>748</v>
      </c>
    </row>
    <row r="310" spans="1:3" x14ac:dyDescent="0.25">
      <c r="A310" s="12" t="s">
        <v>756</v>
      </c>
      <c r="B310" t="s">
        <v>431</v>
      </c>
      <c r="C310" t="s">
        <v>4340</v>
      </c>
    </row>
    <row r="311" spans="1:3" x14ac:dyDescent="0.25">
      <c r="A311" s="12" t="s">
        <v>757</v>
      </c>
      <c r="B311" t="s">
        <v>331</v>
      </c>
      <c r="C311" t="s">
        <v>487</v>
      </c>
    </row>
    <row r="312" spans="1:3" x14ac:dyDescent="0.25">
      <c r="A312" s="12" t="s">
        <v>758</v>
      </c>
      <c r="B312" t="s">
        <v>331</v>
      </c>
      <c r="C312" t="s">
        <v>487</v>
      </c>
    </row>
    <row r="313" spans="1:3" x14ac:dyDescent="0.25">
      <c r="A313" s="12" t="s">
        <v>759</v>
      </c>
      <c r="B313" t="s">
        <v>331</v>
      </c>
      <c r="C313" t="s">
        <v>487</v>
      </c>
    </row>
    <row r="314" spans="1:3" x14ac:dyDescent="0.25">
      <c r="A314" s="12" t="s">
        <v>760</v>
      </c>
      <c r="B314" t="s">
        <v>331</v>
      </c>
      <c r="C314" t="s">
        <v>487</v>
      </c>
    </row>
    <row r="315" spans="1:3" x14ac:dyDescent="0.25">
      <c r="A315" s="12" t="s">
        <v>761</v>
      </c>
      <c r="B315" t="s">
        <v>331</v>
      </c>
      <c r="C315" t="s">
        <v>487</v>
      </c>
    </row>
    <row r="316" spans="1:3" x14ac:dyDescent="0.25">
      <c r="A316" s="12" t="s">
        <v>762</v>
      </c>
      <c r="B316" t="s">
        <v>331</v>
      </c>
      <c r="C316" t="s">
        <v>487</v>
      </c>
    </row>
    <row r="317" spans="1:3" x14ac:dyDescent="0.25">
      <c r="A317" s="12" t="s">
        <v>4497</v>
      </c>
      <c r="B317" t="s">
        <v>331</v>
      </c>
      <c r="C317" t="s">
        <v>487</v>
      </c>
    </row>
    <row r="318" spans="1:3" x14ac:dyDescent="0.25">
      <c r="A318" s="12" t="s">
        <v>4496</v>
      </c>
      <c r="B318" t="s">
        <v>331</v>
      </c>
      <c r="C318" t="s">
        <v>487</v>
      </c>
    </row>
    <row r="319" spans="1:3" x14ac:dyDescent="0.25">
      <c r="A319" s="12" t="s">
        <v>763</v>
      </c>
      <c r="B319" t="s">
        <v>331</v>
      </c>
      <c r="C319" t="s">
        <v>764</v>
      </c>
    </row>
    <row r="320" spans="1:3" x14ac:dyDescent="0.25">
      <c r="A320" s="12" t="s">
        <v>765</v>
      </c>
      <c r="B320" t="s">
        <v>331</v>
      </c>
      <c r="C320" t="s">
        <v>764</v>
      </c>
    </row>
    <row r="321" spans="1:3" x14ac:dyDescent="0.25">
      <c r="A321" s="12" t="s">
        <v>766</v>
      </c>
      <c r="B321" t="s">
        <v>331</v>
      </c>
      <c r="C321" t="s">
        <v>764</v>
      </c>
    </row>
    <row r="322" spans="1:3" x14ac:dyDescent="0.25">
      <c r="A322" s="12" t="s">
        <v>767</v>
      </c>
      <c r="B322" t="s">
        <v>331</v>
      </c>
      <c r="C322" t="s">
        <v>764</v>
      </c>
    </row>
    <row r="323" spans="1:3" x14ac:dyDescent="0.25">
      <c r="A323" s="12" t="s">
        <v>768</v>
      </c>
      <c r="B323" t="s">
        <v>331</v>
      </c>
      <c r="C323" t="s">
        <v>764</v>
      </c>
    </row>
    <row r="324" spans="1:3" x14ac:dyDescent="0.25">
      <c r="A324" s="12" t="s">
        <v>769</v>
      </c>
      <c r="B324" t="s">
        <v>331</v>
      </c>
      <c r="C324" t="s">
        <v>764</v>
      </c>
    </row>
    <row r="325" spans="1:3" x14ac:dyDescent="0.25">
      <c r="A325" t="s">
        <v>4438</v>
      </c>
      <c r="B325" t="s">
        <v>331</v>
      </c>
      <c r="C325" t="s">
        <v>764</v>
      </c>
    </row>
    <row r="326" spans="1:3" x14ac:dyDescent="0.25">
      <c r="A326" t="s">
        <v>4439</v>
      </c>
      <c r="B326" t="s">
        <v>331</v>
      </c>
      <c r="C326" t="s">
        <v>764</v>
      </c>
    </row>
    <row r="327" spans="1:3" x14ac:dyDescent="0.25">
      <c r="A327" s="12" t="s">
        <v>770</v>
      </c>
      <c r="B327" t="s">
        <v>475</v>
      </c>
      <c r="C327" t="s">
        <v>771</v>
      </c>
    </row>
    <row r="328" spans="1:3" x14ac:dyDescent="0.25">
      <c r="A328" s="12" t="s">
        <v>772</v>
      </c>
      <c r="B328" t="s">
        <v>331</v>
      </c>
      <c r="C328" t="s">
        <v>598</v>
      </c>
    </row>
    <row r="329" spans="1:3" x14ac:dyDescent="0.25">
      <c r="A329" s="12" t="s">
        <v>773</v>
      </c>
      <c r="B329" t="s">
        <v>331</v>
      </c>
      <c r="C329" t="s">
        <v>417</v>
      </c>
    </row>
    <row r="330" spans="1:3" x14ac:dyDescent="0.25">
      <c r="A330" s="12" t="s">
        <v>774</v>
      </c>
      <c r="B330" t="s">
        <v>331</v>
      </c>
      <c r="C330" t="s">
        <v>417</v>
      </c>
    </row>
    <row r="331" spans="1:3" x14ac:dyDescent="0.25">
      <c r="A331" s="12" t="s">
        <v>775</v>
      </c>
      <c r="B331" t="s">
        <v>335</v>
      </c>
      <c r="C331" t="s">
        <v>434</v>
      </c>
    </row>
    <row r="333" spans="1:3" x14ac:dyDescent="0.25">
      <c r="A333" s="12" t="s">
        <v>776</v>
      </c>
      <c r="B333" t="s">
        <v>409</v>
      </c>
      <c r="C333" t="s">
        <v>764</v>
      </c>
    </row>
    <row r="334" spans="1:3" x14ac:dyDescent="0.25">
      <c r="A334" s="12" t="s">
        <v>777</v>
      </c>
      <c r="B334" t="s">
        <v>335</v>
      </c>
      <c r="C334" t="s">
        <v>764</v>
      </c>
    </row>
    <row r="335" spans="1:3" x14ac:dyDescent="0.25">
      <c r="A335" s="12" t="s">
        <v>778</v>
      </c>
      <c r="B335" t="s">
        <v>335</v>
      </c>
      <c r="C335" t="s">
        <v>764</v>
      </c>
    </row>
    <row r="336" spans="1:3" x14ac:dyDescent="0.25">
      <c r="A336" s="12" t="s">
        <v>779</v>
      </c>
      <c r="B336" t="s">
        <v>335</v>
      </c>
      <c r="C336" t="s">
        <v>764</v>
      </c>
    </row>
    <row r="337" spans="1:3" x14ac:dyDescent="0.25">
      <c r="A337" s="12" t="s">
        <v>780</v>
      </c>
      <c r="B337" t="s">
        <v>335</v>
      </c>
      <c r="C337" t="s">
        <v>764</v>
      </c>
    </row>
    <row r="338" spans="1:3" x14ac:dyDescent="0.25">
      <c r="A338" s="12" t="s">
        <v>781</v>
      </c>
      <c r="B338" t="s">
        <v>335</v>
      </c>
      <c r="C338" t="s">
        <v>764</v>
      </c>
    </row>
    <row r="339" spans="1:3" x14ac:dyDescent="0.25">
      <c r="A339" s="12" t="s">
        <v>782</v>
      </c>
      <c r="B339" t="s">
        <v>335</v>
      </c>
      <c r="C339" t="s">
        <v>764</v>
      </c>
    </row>
    <row r="340" spans="1:3" x14ac:dyDescent="0.25">
      <c r="A340" s="12" t="s">
        <v>783</v>
      </c>
      <c r="B340" t="s">
        <v>335</v>
      </c>
      <c r="C340" t="s">
        <v>764</v>
      </c>
    </row>
    <row r="341" spans="1:3" x14ac:dyDescent="0.25">
      <c r="A341" s="12" t="s">
        <v>784</v>
      </c>
      <c r="B341" t="s">
        <v>335</v>
      </c>
      <c r="C341" t="s">
        <v>764</v>
      </c>
    </row>
    <row r="342" spans="1:3" x14ac:dyDescent="0.25">
      <c r="A342" s="12" t="s">
        <v>785</v>
      </c>
      <c r="B342" t="s">
        <v>475</v>
      </c>
      <c r="C342" t="s">
        <v>771</v>
      </c>
    </row>
    <row r="343" spans="1:3" x14ac:dyDescent="0.25">
      <c r="A343" s="12" t="s">
        <v>786</v>
      </c>
      <c r="B343" t="s">
        <v>335</v>
      </c>
      <c r="C343" t="s">
        <v>764</v>
      </c>
    </row>
    <row r="344" spans="1:3" x14ac:dyDescent="0.25">
      <c r="A344" s="12" t="s">
        <v>787</v>
      </c>
      <c r="B344" t="s">
        <v>475</v>
      </c>
      <c r="C344" t="s">
        <v>771</v>
      </c>
    </row>
    <row r="345" spans="1:3" x14ac:dyDescent="0.25">
      <c r="A345" s="12" t="s">
        <v>788</v>
      </c>
      <c r="B345" t="s">
        <v>335</v>
      </c>
      <c r="C345" t="s">
        <v>439</v>
      </c>
    </row>
    <row r="346" spans="1:3" x14ac:dyDescent="0.25">
      <c r="A346" s="12" t="s">
        <v>789</v>
      </c>
      <c r="B346" t="s">
        <v>331</v>
      </c>
      <c r="C346" t="s">
        <v>764</v>
      </c>
    </row>
    <row r="347" spans="1:3" x14ac:dyDescent="0.25">
      <c r="A347" s="12" t="s">
        <v>790</v>
      </c>
      <c r="B347" t="s">
        <v>331</v>
      </c>
      <c r="C347" t="s">
        <v>764</v>
      </c>
    </row>
    <row r="348" spans="1:3" x14ac:dyDescent="0.25">
      <c r="A348" s="12" t="s">
        <v>791</v>
      </c>
      <c r="B348" t="s">
        <v>475</v>
      </c>
      <c r="C348" t="s">
        <v>771</v>
      </c>
    </row>
    <row r="349" spans="1:3" x14ac:dyDescent="0.25">
      <c r="A349" s="12" t="s">
        <v>792</v>
      </c>
      <c r="B349" t="s">
        <v>335</v>
      </c>
      <c r="C349" t="s">
        <v>764</v>
      </c>
    </row>
    <row r="350" spans="1:3" x14ac:dyDescent="0.25">
      <c r="A350" s="12" t="s">
        <v>793</v>
      </c>
      <c r="B350" t="s">
        <v>335</v>
      </c>
      <c r="C350" t="s">
        <v>764</v>
      </c>
    </row>
    <row r="351" spans="1:3" x14ac:dyDescent="0.25">
      <c r="A351" s="12" t="s">
        <v>794</v>
      </c>
      <c r="B351" t="s">
        <v>335</v>
      </c>
      <c r="C351" t="s">
        <v>764</v>
      </c>
    </row>
    <row r="352" spans="1:3" x14ac:dyDescent="0.25">
      <c r="A352" s="12" t="s">
        <v>795</v>
      </c>
      <c r="B352" t="s">
        <v>335</v>
      </c>
      <c r="C352" t="s">
        <v>764</v>
      </c>
    </row>
    <row r="353" spans="1:3" x14ac:dyDescent="0.25">
      <c r="A353" s="12" t="s">
        <v>796</v>
      </c>
      <c r="B353" t="s">
        <v>335</v>
      </c>
      <c r="C353" t="s">
        <v>764</v>
      </c>
    </row>
    <row r="354" spans="1:3" x14ac:dyDescent="0.25">
      <c r="A354" s="12" t="s">
        <v>797</v>
      </c>
      <c r="B354" t="s">
        <v>335</v>
      </c>
      <c r="C354" t="s">
        <v>764</v>
      </c>
    </row>
    <row r="355" spans="1:3" x14ac:dyDescent="0.25">
      <c r="A355" s="12" t="s">
        <v>798</v>
      </c>
      <c r="B355" t="s">
        <v>335</v>
      </c>
      <c r="C355" t="s">
        <v>764</v>
      </c>
    </row>
    <row r="356" spans="1:3" x14ac:dyDescent="0.25">
      <c r="A356" s="12" t="s">
        <v>799</v>
      </c>
      <c r="B356" t="s">
        <v>335</v>
      </c>
      <c r="C356" t="s">
        <v>764</v>
      </c>
    </row>
    <row r="357" spans="1:3" x14ac:dyDescent="0.25">
      <c r="A357" s="12" t="s">
        <v>800</v>
      </c>
      <c r="B357" t="s">
        <v>475</v>
      </c>
      <c r="C357" t="s">
        <v>771</v>
      </c>
    </row>
    <row r="358" spans="1:3" x14ac:dyDescent="0.25">
      <c r="A358" s="12" t="s">
        <v>801</v>
      </c>
      <c r="B358" t="s">
        <v>335</v>
      </c>
      <c r="C358" t="s">
        <v>764</v>
      </c>
    </row>
    <row r="359" spans="1:3" x14ac:dyDescent="0.25">
      <c r="A359" s="12" t="s">
        <v>802</v>
      </c>
      <c r="B359" t="s">
        <v>335</v>
      </c>
      <c r="C359" t="s">
        <v>764</v>
      </c>
    </row>
    <row r="360" spans="1:3" x14ac:dyDescent="0.25">
      <c r="A360" s="12" t="s">
        <v>803</v>
      </c>
      <c r="B360" t="s">
        <v>335</v>
      </c>
      <c r="C360" t="s">
        <v>764</v>
      </c>
    </row>
    <row r="361" spans="1:3" x14ac:dyDescent="0.25">
      <c r="A361" s="12" t="s">
        <v>804</v>
      </c>
      <c r="B361" t="s">
        <v>335</v>
      </c>
      <c r="C361" t="s">
        <v>764</v>
      </c>
    </row>
    <row r="362" spans="1:3" x14ac:dyDescent="0.25">
      <c r="A362" s="12" t="s">
        <v>805</v>
      </c>
      <c r="B362" t="s">
        <v>335</v>
      </c>
      <c r="C362" t="s">
        <v>764</v>
      </c>
    </row>
    <row r="363" spans="1:3" x14ac:dyDescent="0.25">
      <c r="A363" s="12" t="s">
        <v>806</v>
      </c>
      <c r="B363" t="s">
        <v>335</v>
      </c>
      <c r="C363" t="s">
        <v>764</v>
      </c>
    </row>
    <row r="364" spans="1:3" x14ac:dyDescent="0.25">
      <c r="A364" s="12" t="s">
        <v>807</v>
      </c>
      <c r="B364" t="s">
        <v>335</v>
      </c>
      <c r="C364" t="s">
        <v>764</v>
      </c>
    </row>
    <row r="365" spans="1:3" x14ac:dyDescent="0.25">
      <c r="A365" s="12" t="s">
        <v>808</v>
      </c>
      <c r="B365" t="s">
        <v>335</v>
      </c>
      <c r="C365" t="s">
        <v>764</v>
      </c>
    </row>
    <row r="366" spans="1:3" x14ac:dyDescent="0.25">
      <c r="A366" s="12" t="s">
        <v>809</v>
      </c>
      <c r="B366" t="s">
        <v>475</v>
      </c>
      <c r="C366" t="s">
        <v>771</v>
      </c>
    </row>
    <row r="367" spans="1:3" x14ac:dyDescent="0.25">
      <c r="A367" s="12" t="s">
        <v>810</v>
      </c>
      <c r="B367" t="s">
        <v>335</v>
      </c>
      <c r="C367" t="s">
        <v>764</v>
      </c>
    </row>
    <row r="368" spans="1:3" x14ac:dyDescent="0.25">
      <c r="A368" s="12" t="s">
        <v>811</v>
      </c>
      <c r="B368" t="s">
        <v>335</v>
      </c>
      <c r="C368" t="s">
        <v>764</v>
      </c>
    </row>
    <row r="369" spans="1:3" x14ac:dyDescent="0.25">
      <c r="A369" s="12" t="s">
        <v>812</v>
      </c>
      <c r="B369" t="s">
        <v>335</v>
      </c>
      <c r="C369" t="s">
        <v>764</v>
      </c>
    </row>
    <row r="370" spans="1:3" x14ac:dyDescent="0.25">
      <c r="A370" s="12" t="s">
        <v>813</v>
      </c>
      <c r="B370" t="s">
        <v>335</v>
      </c>
      <c r="C370" t="s">
        <v>764</v>
      </c>
    </row>
    <row r="371" spans="1:3" x14ac:dyDescent="0.25">
      <c r="A371" s="12" t="s">
        <v>814</v>
      </c>
      <c r="B371" t="s">
        <v>475</v>
      </c>
      <c r="C371" t="s">
        <v>771</v>
      </c>
    </row>
    <row r="372" spans="1:3" x14ac:dyDescent="0.25">
      <c r="A372" s="12" t="s">
        <v>815</v>
      </c>
      <c r="B372" t="s">
        <v>331</v>
      </c>
      <c r="C372" t="s">
        <v>764</v>
      </c>
    </row>
    <row r="373" spans="1:3" x14ac:dyDescent="0.25">
      <c r="A373" s="12" t="s">
        <v>816</v>
      </c>
      <c r="B373" t="s">
        <v>331</v>
      </c>
      <c r="C373" t="s">
        <v>764</v>
      </c>
    </row>
    <row r="374" spans="1:3" x14ac:dyDescent="0.25">
      <c r="A374" s="12" t="s">
        <v>817</v>
      </c>
      <c r="B374" t="s">
        <v>331</v>
      </c>
      <c r="C374" t="s">
        <v>764</v>
      </c>
    </row>
    <row r="375" spans="1:3" x14ac:dyDescent="0.25">
      <c r="A375" s="12" t="s">
        <v>818</v>
      </c>
      <c r="B375" t="s">
        <v>331</v>
      </c>
      <c r="C375" t="s">
        <v>764</v>
      </c>
    </row>
    <row r="376" spans="1:3" x14ac:dyDescent="0.25">
      <c r="A376" s="12" t="s">
        <v>819</v>
      </c>
      <c r="B376" t="s">
        <v>331</v>
      </c>
      <c r="C376" t="s">
        <v>764</v>
      </c>
    </row>
    <row r="377" spans="1:3" x14ac:dyDescent="0.25">
      <c r="A377" s="12" t="s">
        <v>820</v>
      </c>
      <c r="B377" t="s">
        <v>409</v>
      </c>
      <c r="C377" t="s">
        <v>764</v>
      </c>
    </row>
    <row r="378" spans="1:3" x14ac:dyDescent="0.25">
      <c r="A378" s="12" t="s">
        <v>821</v>
      </c>
      <c r="B378" t="s">
        <v>472</v>
      </c>
      <c r="C378" t="s">
        <v>764</v>
      </c>
    </row>
    <row r="379" spans="1:3" x14ac:dyDescent="0.25">
      <c r="A379" s="12" t="s">
        <v>822</v>
      </c>
      <c r="B379" t="s">
        <v>472</v>
      </c>
      <c r="C379" t="s">
        <v>764</v>
      </c>
    </row>
    <row r="380" spans="1:3" x14ac:dyDescent="0.25">
      <c r="A380" s="12" t="s">
        <v>823</v>
      </c>
      <c r="B380" t="s">
        <v>472</v>
      </c>
      <c r="C380" t="s">
        <v>764</v>
      </c>
    </row>
    <row r="381" spans="1:3" x14ac:dyDescent="0.25">
      <c r="A381" s="12" t="s">
        <v>824</v>
      </c>
      <c r="B381" t="s">
        <v>409</v>
      </c>
      <c r="C381" t="s">
        <v>764</v>
      </c>
    </row>
    <row r="382" spans="1:3" x14ac:dyDescent="0.25">
      <c r="A382" s="12" t="s">
        <v>825</v>
      </c>
      <c r="B382" t="s">
        <v>409</v>
      </c>
      <c r="C382" t="s">
        <v>764</v>
      </c>
    </row>
    <row r="383" spans="1:3" x14ac:dyDescent="0.25">
      <c r="A383" s="12" t="s">
        <v>826</v>
      </c>
      <c r="B383" t="s">
        <v>827</v>
      </c>
      <c r="C383" t="s">
        <v>764</v>
      </c>
    </row>
    <row r="384" spans="1:3" x14ac:dyDescent="0.25">
      <c r="A384" s="12" t="s">
        <v>828</v>
      </c>
      <c r="B384" t="s">
        <v>409</v>
      </c>
      <c r="C384" t="s">
        <v>764</v>
      </c>
    </row>
    <row r="385" spans="1:3" x14ac:dyDescent="0.25">
      <c r="A385" s="12" t="s">
        <v>829</v>
      </c>
      <c r="B385" t="s">
        <v>827</v>
      </c>
      <c r="C385" t="s">
        <v>764</v>
      </c>
    </row>
    <row r="386" spans="1:3" x14ac:dyDescent="0.25">
      <c r="A386" s="12" t="s">
        <v>830</v>
      </c>
      <c r="B386" t="s">
        <v>472</v>
      </c>
      <c r="C386" t="s">
        <v>764</v>
      </c>
    </row>
    <row r="387" spans="1:3" x14ac:dyDescent="0.25">
      <c r="A387" s="12" t="s">
        <v>831</v>
      </c>
      <c r="B387" t="s">
        <v>409</v>
      </c>
      <c r="C387" t="s">
        <v>764</v>
      </c>
    </row>
    <row r="388" spans="1:3" x14ac:dyDescent="0.25">
      <c r="A388" s="12" t="s">
        <v>832</v>
      </c>
      <c r="B388" t="s">
        <v>409</v>
      </c>
      <c r="C388" t="s">
        <v>764</v>
      </c>
    </row>
    <row r="389" spans="1:3" x14ac:dyDescent="0.25">
      <c r="A389" s="12" t="s">
        <v>833</v>
      </c>
      <c r="B389" t="s">
        <v>472</v>
      </c>
      <c r="C389" t="s">
        <v>764</v>
      </c>
    </row>
    <row r="390" spans="1:3" x14ac:dyDescent="0.25">
      <c r="A390" s="12" t="s">
        <v>834</v>
      </c>
      <c r="B390" t="s">
        <v>472</v>
      </c>
      <c r="C390" t="s">
        <v>764</v>
      </c>
    </row>
    <row r="391" spans="1:3" x14ac:dyDescent="0.25">
      <c r="A391" s="12" t="s">
        <v>835</v>
      </c>
      <c r="B391" t="s">
        <v>409</v>
      </c>
      <c r="C391" t="s">
        <v>764</v>
      </c>
    </row>
    <row r="392" spans="1:3" x14ac:dyDescent="0.25">
      <c r="A392" s="12" t="s">
        <v>836</v>
      </c>
      <c r="B392" t="s">
        <v>409</v>
      </c>
      <c r="C392" t="s">
        <v>764</v>
      </c>
    </row>
    <row r="393" spans="1:3" x14ac:dyDescent="0.25">
      <c r="A393" s="12" t="s">
        <v>4442</v>
      </c>
      <c r="B393" t="s">
        <v>331</v>
      </c>
      <c r="C393" t="s">
        <v>764</v>
      </c>
    </row>
    <row r="394" spans="1:3" x14ac:dyDescent="0.25">
      <c r="A394" s="12" t="s">
        <v>4331</v>
      </c>
      <c r="B394" t="s">
        <v>331</v>
      </c>
      <c r="C394" t="s">
        <v>764</v>
      </c>
    </row>
    <row r="395" spans="1:3" x14ac:dyDescent="0.25">
      <c r="A395" s="12" t="s">
        <v>837</v>
      </c>
      <c r="B395" t="s">
        <v>331</v>
      </c>
      <c r="C395" t="s">
        <v>764</v>
      </c>
    </row>
    <row r="396" spans="1:3" x14ac:dyDescent="0.25">
      <c r="A396" s="12" t="s">
        <v>838</v>
      </c>
      <c r="B396" t="s">
        <v>331</v>
      </c>
      <c r="C396" t="s">
        <v>764</v>
      </c>
    </row>
    <row r="397" spans="1:3" x14ac:dyDescent="0.25">
      <c r="A397" s="12" t="s">
        <v>4441</v>
      </c>
      <c r="B397" t="s">
        <v>331</v>
      </c>
      <c r="C397" t="s">
        <v>764</v>
      </c>
    </row>
    <row r="398" spans="1:3" x14ac:dyDescent="0.25">
      <c r="A398" t="s">
        <v>5142</v>
      </c>
      <c r="B398" t="s">
        <v>331</v>
      </c>
      <c r="C398" t="s">
        <v>764</v>
      </c>
    </row>
    <row r="399" spans="1:3" x14ac:dyDescent="0.25">
      <c r="A399" s="12" t="s">
        <v>5143</v>
      </c>
      <c r="B399" t="s">
        <v>331</v>
      </c>
      <c r="C399" t="s">
        <v>764</v>
      </c>
    </row>
    <row r="400" spans="1:3" x14ac:dyDescent="0.25">
      <c r="A400" t="s">
        <v>5161</v>
      </c>
      <c r="B400" t="s">
        <v>331</v>
      </c>
      <c r="C400" t="s">
        <v>764</v>
      </c>
    </row>
    <row r="401" spans="1:3" x14ac:dyDescent="0.25">
      <c r="A401" t="s">
        <v>5162</v>
      </c>
      <c r="B401" t="s">
        <v>331</v>
      </c>
      <c r="C401" t="s">
        <v>764</v>
      </c>
    </row>
    <row r="402" spans="1:3" x14ac:dyDescent="0.25">
      <c r="A402" s="12" t="s">
        <v>839</v>
      </c>
      <c r="B402" t="s">
        <v>335</v>
      </c>
      <c r="C402" t="s">
        <v>439</v>
      </c>
    </row>
    <row r="403" spans="1:3" x14ac:dyDescent="0.25">
      <c r="A403" s="12" t="s">
        <v>840</v>
      </c>
      <c r="B403" t="s">
        <v>335</v>
      </c>
      <c r="C403" t="s">
        <v>439</v>
      </c>
    </row>
    <row r="404" spans="1:3" x14ac:dyDescent="0.25">
      <c r="A404" s="12" t="s">
        <v>841</v>
      </c>
      <c r="B404" t="s">
        <v>335</v>
      </c>
      <c r="C404" t="s">
        <v>439</v>
      </c>
    </row>
    <row r="405" spans="1:3" x14ac:dyDescent="0.25">
      <c r="A405" s="12" t="s">
        <v>842</v>
      </c>
      <c r="B405" t="s">
        <v>335</v>
      </c>
      <c r="C405" t="s">
        <v>439</v>
      </c>
    </row>
    <row r="406" spans="1:3" x14ac:dyDescent="0.25">
      <c r="A406" s="12" t="s">
        <v>843</v>
      </c>
      <c r="B406" t="s">
        <v>335</v>
      </c>
      <c r="C406" t="s">
        <v>467</v>
      </c>
    </row>
    <row r="407" spans="1:3" x14ac:dyDescent="0.25">
      <c r="A407" s="12" t="s">
        <v>844</v>
      </c>
      <c r="B407" t="s">
        <v>335</v>
      </c>
      <c r="C407" t="s">
        <v>467</v>
      </c>
    </row>
    <row r="408" spans="1:3" x14ac:dyDescent="0.25">
      <c r="A408" s="12"/>
    </row>
    <row r="409" spans="1:3" x14ac:dyDescent="0.25">
      <c r="A409" s="12"/>
    </row>
    <row r="410" spans="1:3" x14ac:dyDescent="0.25">
      <c r="A410" s="12"/>
    </row>
    <row r="411" spans="1:3" x14ac:dyDescent="0.25">
      <c r="A411" s="12"/>
    </row>
    <row r="412" spans="1:3" x14ac:dyDescent="0.25">
      <c r="A412" s="12" t="s">
        <v>845</v>
      </c>
      <c r="B412" t="s">
        <v>335</v>
      </c>
      <c r="C412" t="s">
        <v>764</v>
      </c>
    </row>
    <row r="413" spans="1:3" x14ac:dyDescent="0.25">
      <c r="A413" s="12" t="s">
        <v>846</v>
      </c>
      <c r="B413" t="s">
        <v>335</v>
      </c>
      <c r="C413" t="s">
        <v>764</v>
      </c>
    </row>
    <row r="414" spans="1:3" x14ac:dyDescent="0.25">
      <c r="A414" s="12" t="s">
        <v>847</v>
      </c>
      <c r="B414" t="s">
        <v>335</v>
      </c>
      <c r="C414" t="s">
        <v>764</v>
      </c>
    </row>
    <row r="415" spans="1:3" x14ac:dyDescent="0.25">
      <c r="A415" s="12"/>
    </row>
    <row r="416" spans="1:3" x14ac:dyDescent="0.25">
      <c r="A416" s="12"/>
    </row>
    <row r="417" spans="1:3" x14ac:dyDescent="0.25">
      <c r="A417" s="12" t="s">
        <v>848</v>
      </c>
      <c r="B417" t="s">
        <v>475</v>
      </c>
      <c r="C417" t="s">
        <v>771</v>
      </c>
    </row>
    <row r="418" spans="1:3" x14ac:dyDescent="0.25">
      <c r="A418" s="12" t="s">
        <v>849</v>
      </c>
      <c r="B418" t="s">
        <v>335</v>
      </c>
      <c r="C418" t="s">
        <v>764</v>
      </c>
    </row>
    <row r="419" spans="1:3" x14ac:dyDescent="0.25">
      <c r="A419" s="12" t="s">
        <v>5026</v>
      </c>
      <c r="B419" t="s">
        <v>331</v>
      </c>
      <c r="C419" t="s">
        <v>764</v>
      </c>
    </row>
    <row r="420" spans="1:3" x14ac:dyDescent="0.25">
      <c r="A420" s="12" t="s">
        <v>5144</v>
      </c>
      <c r="B420" t="s">
        <v>331</v>
      </c>
      <c r="C420" t="s">
        <v>764</v>
      </c>
    </row>
    <row r="421" spans="1:3" x14ac:dyDescent="0.25">
      <c r="A421" s="12" t="s">
        <v>5166</v>
      </c>
      <c r="B421" t="s">
        <v>331</v>
      </c>
      <c r="C421" t="s">
        <v>764</v>
      </c>
    </row>
    <row r="422" spans="1:3" x14ac:dyDescent="0.25">
      <c r="A422" s="12" t="s">
        <v>850</v>
      </c>
      <c r="B422" t="s">
        <v>335</v>
      </c>
      <c r="C422" t="s">
        <v>764</v>
      </c>
    </row>
    <row r="423" spans="1:3" x14ac:dyDescent="0.25">
      <c r="A423" s="12" t="s">
        <v>851</v>
      </c>
      <c r="B423" t="s">
        <v>335</v>
      </c>
      <c r="C423" t="s">
        <v>764</v>
      </c>
    </row>
    <row r="424" spans="1:3" x14ac:dyDescent="0.25">
      <c r="A424" s="12" t="s">
        <v>852</v>
      </c>
      <c r="B424" t="s">
        <v>335</v>
      </c>
      <c r="C424" t="s">
        <v>329</v>
      </c>
    </row>
    <row r="425" spans="1:3" x14ac:dyDescent="0.25">
      <c r="A425" s="12"/>
    </row>
    <row r="426" spans="1:3" x14ac:dyDescent="0.25">
      <c r="A426" s="12" t="s">
        <v>853</v>
      </c>
      <c r="B426" t="s">
        <v>335</v>
      </c>
      <c r="C426" t="s">
        <v>854</v>
      </c>
    </row>
    <row r="427" spans="1:3" x14ac:dyDescent="0.25">
      <c r="A427" s="12" t="s">
        <v>855</v>
      </c>
      <c r="B427" t="s">
        <v>335</v>
      </c>
      <c r="C427" t="s">
        <v>329</v>
      </c>
    </row>
    <row r="428" spans="1:3" x14ac:dyDescent="0.25">
      <c r="A428" s="12"/>
    </row>
    <row r="429" spans="1:3" x14ac:dyDescent="0.25">
      <c r="A429" s="12" t="s">
        <v>856</v>
      </c>
      <c r="B429" t="s">
        <v>335</v>
      </c>
      <c r="C429" t="s">
        <v>764</v>
      </c>
    </row>
    <row r="430" spans="1:3" x14ac:dyDescent="0.25">
      <c r="A430" s="12" t="s">
        <v>857</v>
      </c>
      <c r="B430" t="s">
        <v>335</v>
      </c>
      <c r="C430" t="s">
        <v>764</v>
      </c>
    </row>
    <row r="431" spans="1:3" x14ac:dyDescent="0.25">
      <c r="A431" s="12" t="s">
        <v>858</v>
      </c>
      <c r="B431" t="s">
        <v>335</v>
      </c>
      <c r="C431" t="s">
        <v>764</v>
      </c>
    </row>
    <row r="432" spans="1:3" x14ac:dyDescent="0.25">
      <c r="A432" s="12" t="s">
        <v>859</v>
      </c>
      <c r="B432" t="s">
        <v>335</v>
      </c>
      <c r="C432" t="s">
        <v>764</v>
      </c>
    </row>
    <row r="433" spans="1:3" x14ac:dyDescent="0.25">
      <c r="A433" s="12" t="s">
        <v>860</v>
      </c>
      <c r="B433" t="s">
        <v>335</v>
      </c>
      <c r="C433" t="s">
        <v>437</v>
      </c>
    </row>
    <row r="434" spans="1:3" x14ac:dyDescent="0.25">
      <c r="A434" s="12" t="s">
        <v>861</v>
      </c>
      <c r="B434" t="s">
        <v>335</v>
      </c>
      <c r="C434" t="s">
        <v>764</v>
      </c>
    </row>
    <row r="435" spans="1:3" x14ac:dyDescent="0.25">
      <c r="A435" s="12" t="s">
        <v>862</v>
      </c>
      <c r="B435" t="s">
        <v>335</v>
      </c>
      <c r="C435" t="s">
        <v>329</v>
      </c>
    </row>
    <row r="436" spans="1:3" x14ac:dyDescent="0.25">
      <c r="A436" s="12" t="s">
        <v>863</v>
      </c>
      <c r="B436" t="s">
        <v>335</v>
      </c>
      <c r="C436" t="s">
        <v>764</v>
      </c>
    </row>
    <row r="437" spans="1:3" x14ac:dyDescent="0.25">
      <c r="A437" s="12" t="s">
        <v>864</v>
      </c>
      <c r="B437" t="s">
        <v>475</v>
      </c>
      <c r="C437" t="s">
        <v>771</v>
      </c>
    </row>
    <row r="438" spans="1:3" x14ac:dyDescent="0.25">
      <c r="A438" s="12" t="s">
        <v>865</v>
      </c>
      <c r="B438" t="s">
        <v>335</v>
      </c>
      <c r="C438" t="s">
        <v>764</v>
      </c>
    </row>
    <row r="439" spans="1:3" x14ac:dyDescent="0.25">
      <c r="A439" s="12" t="s">
        <v>866</v>
      </c>
      <c r="B439" t="s">
        <v>335</v>
      </c>
      <c r="C439" t="s">
        <v>764</v>
      </c>
    </row>
    <row r="440" spans="1:3" x14ac:dyDescent="0.25">
      <c r="A440" s="12" t="s">
        <v>867</v>
      </c>
      <c r="B440" t="s">
        <v>335</v>
      </c>
      <c r="C440" t="s">
        <v>764</v>
      </c>
    </row>
    <row r="441" spans="1:3" x14ac:dyDescent="0.25">
      <c r="A441" s="12" t="s">
        <v>868</v>
      </c>
      <c r="B441" t="s">
        <v>335</v>
      </c>
      <c r="C441" t="s">
        <v>764</v>
      </c>
    </row>
    <row r="442" spans="1:3" x14ac:dyDescent="0.25">
      <c r="A442" s="12" t="s">
        <v>869</v>
      </c>
      <c r="B442" t="s">
        <v>335</v>
      </c>
      <c r="C442" t="s">
        <v>764</v>
      </c>
    </row>
    <row r="443" spans="1:3" x14ac:dyDescent="0.25">
      <c r="A443" s="12" t="s">
        <v>870</v>
      </c>
      <c r="B443" t="s">
        <v>335</v>
      </c>
      <c r="C443" t="s">
        <v>764</v>
      </c>
    </row>
    <row r="444" spans="1:3" x14ac:dyDescent="0.25">
      <c r="A444" s="12" t="s">
        <v>871</v>
      </c>
      <c r="B444" t="s">
        <v>335</v>
      </c>
      <c r="C444" t="s">
        <v>764</v>
      </c>
    </row>
    <row r="445" spans="1:3" x14ac:dyDescent="0.25">
      <c r="A445" s="12" t="s">
        <v>5167</v>
      </c>
      <c r="B445" t="s">
        <v>331</v>
      </c>
      <c r="C445" t="s">
        <v>764</v>
      </c>
    </row>
    <row r="446" spans="1:3" x14ac:dyDescent="0.25">
      <c r="A446" s="12" t="s">
        <v>872</v>
      </c>
      <c r="B446" t="s">
        <v>331</v>
      </c>
      <c r="C446" t="s">
        <v>764</v>
      </c>
    </row>
    <row r="447" spans="1:3" x14ac:dyDescent="0.25">
      <c r="A447" s="12" t="s">
        <v>873</v>
      </c>
      <c r="B447" t="s">
        <v>331</v>
      </c>
      <c r="C447" t="s">
        <v>764</v>
      </c>
    </row>
    <row r="448" spans="1:3" x14ac:dyDescent="0.25">
      <c r="A448" s="12" t="s">
        <v>874</v>
      </c>
      <c r="B448" t="s">
        <v>331</v>
      </c>
      <c r="C448" t="s">
        <v>764</v>
      </c>
    </row>
    <row r="449" spans="1:4" x14ac:dyDescent="0.25">
      <c r="A449" s="117" t="s">
        <v>5002</v>
      </c>
      <c r="B449" t="s">
        <v>331</v>
      </c>
      <c r="C449" t="s">
        <v>764</v>
      </c>
      <c r="D449" s="116"/>
    </row>
    <row r="450" spans="1:4" x14ac:dyDescent="0.25">
      <c r="A450" s="12" t="s">
        <v>875</v>
      </c>
      <c r="B450" t="s">
        <v>331</v>
      </c>
      <c r="C450" t="s">
        <v>764</v>
      </c>
    </row>
    <row r="451" spans="1:4" x14ac:dyDescent="0.25">
      <c r="A451" s="12" t="s">
        <v>876</v>
      </c>
      <c r="B451" t="s">
        <v>331</v>
      </c>
      <c r="C451" t="s">
        <v>764</v>
      </c>
    </row>
    <row r="452" spans="1:4" x14ac:dyDescent="0.25">
      <c r="A452" s="12" t="s">
        <v>877</v>
      </c>
      <c r="B452" t="s">
        <v>331</v>
      </c>
      <c r="C452" t="s">
        <v>764</v>
      </c>
    </row>
    <row r="453" spans="1:4" x14ac:dyDescent="0.25">
      <c r="A453" s="12" t="s">
        <v>878</v>
      </c>
      <c r="B453" t="s">
        <v>331</v>
      </c>
      <c r="C453" t="s">
        <v>764</v>
      </c>
    </row>
    <row r="454" spans="1:4" x14ac:dyDescent="0.25">
      <c r="A454" s="12" t="s">
        <v>879</v>
      </c>
      <c r="B454" t="s">
        <v>331</v>
      </c>
      <c r="C454" t="s">
        <v>764</v>
      </c>
    </row>
    <row r="455" spans="1:4" x14ac:dyDescent="0.25">
      <c r="A455" s="12" t="s">
        <v>880</v>
      </c>
      <c r="B455" t="s">
        <v>331</v>
      </c>
      <c r="C455" t="s">
        <v>764</v>
      </c>
    </row>
    <row r="456" spans="1:4" x14ac:dyDescent="0.25">
      <c r="A456" s="12" t="s">
        <v>881</v>
      </c>
      <c r="B456" t="s">
        <v>331</v>
      </c>
      <c r="C456" t="s">
        <v>764</v>
      </c>
    </row>
    <row r="457" spans="1:4" x14ac:dyDescent="0.25">
      <c r="A457" s="12" t="s">
        <v>882</v>
      </c>
      <c r="B457" t="s">
        <v>331</v>
      </c>
      <c r="C457" t="s">
        <v>764</v>
      </c>
    </row>
    <row r="458" spans="1:4" x14ac:dyDescent="0.25">
      <c r="A458" s="12" t="s">
        <v>4443</v>
      </c>
      <c r="B458" t="s">
        <v>331</v>
      </c>
      <c r="C458" t="s">
        <v>764</v>
      </c>
    </row>
    <row r="459" spans="1:4" x14ac:dyDescent="0.25">
      <c r="A459" s="12" t="s">
        <v>4473</v>
      </c>
      <c r="B459" t="s">
        <v>331</v>
      </c>
      <c r="C459" t="s">
        <v>764</v>
      </c>
    </row>
    <row r="460" spans="1:4" x14ac:dyDescent="0.25">
      <c r="A460" s="12" t="s">
        <v>4490</v>
      </c>
      <c r="B460" t="s">
        <v>331</v>
      </c>
      <c r="C460" t="s">
        <v>764</v>
      </c>
    </row>
    <row r="461" spans="1:4" x14ac:dyDescent="0.25">
      <c r="A461" s="12" t="s">
        <v>5168</v>
      </c>
      <c r="B461" t="s">
        <v>331</v>
      </c>
      <c r="C461" t="s">
        <v>764</v>
      </c>
    </row>
    <row r="462" spans="1:4" x14ac:dyDescent="0.25">
      <c r="A462" t="s">
        <v>5169</v>
      </c>
      <c r="B462" t="s">
        <v>331</v>
      </c>
      <c r="C462" t="s">
        <v>764</v>
      </c>
    </row>
    <row r="463" spans="1:4" x14ac:dyDescent="0.25">
      <c r="A463" s="12" t="s">
        <v>5170</v>
      </c>
      <c r="B463" t="s">
        <v>331</v>
      </c>
      <c r="C463" t="s">
        <v>764</v>
      </c>
    </row>
    <row r="464" spans="1:4" x14ac:dyDescent="0.25">
      <c r="A464" s="12"/>
    </row>
    <row r="465" spans="1:3" x14ac:dyDescent="0.25">
      <c r="A465" s="12"/>
    </row>
    <row r="466" spans="1:3" x14ac:dyDescent="0.25">
      <c r="A466" s="12"/>
    </row>
    <row r="467" spans="1:3" x14ac:dyDescent="0.25">
      <c r="A467" s="12" t="s">
        <v>883</v>
      </c>
      <c r="B467" t="s">
        <v>475</v>
      </c>
      <c r="C467" t="s">
        <v>771</v>
      </c>
    </row>
    <row r="468" spans="1:3" x14ac:dyDescent="0.25">
      <c r="A468" s="12"/>
    </row>
    <row r="469" spans="1:3" x14ac:dyDescent="0.25">
      <c r="A469" s="12" t="s">
        <v>4337</v>
      </c>
      <c r="B469" t="s">
        <v>335</v>
      </c>
      <c r="C469" t="s">
        <v>439</v>
      </c>
    </row>
    <row r="470" spans="1:3" x14ac:dyDescent="0.25">
      <c r="A470" s="12" t="s">
        <v>4338</v>
      </c>
      <c r="B470" t="s">
        <v>335</v>
      </c>
      <c r="C470" t="s">
        <v>439</v>
      </c>
    </row>
    <row r="471" spans="1:3" x14ac:dyDescent="0.25">
      <c r="A471" s="12" t="s">
        <v>4339</v>
      </c>
      <c r="B471" t="s">
        <v>335</v>
      </c>
      <c r="C471" t="s">
        <v>439</v>
      </c>
    </row>
    <row r="472" spans="1:3" x14ac:dyDescent="0.25">
      <c r="A472" s="12" t="s">
        <v>5093</v>
      </c>
      <c r="B472" t="s">
        <v>331</v>
      </c>
      <c r="C472" t="s">
        <v>764</v>
      </c>
    </row>
    <row r="473" spans="1:3" x14ac:dyDescent="0.25">
      <c r="A473" s="12" t="s">
        <v>4341</v>
      </c>
      <c r="B473" t="s">
        <v>331</v>
      </c>
      <c r="C473" t="s">
        <v>764</v>
      </c>
    </row>
    <row r="474" spans="1:3" x14ac:dyDescent="0.25">
      <c r="A474" s="12" t="s">
        <v>4342</v>
      </c>
      <c r="B474" t="s">
        <v>331</v>
      </c>
      <c r="C474" t="s">
        <v>487</v>
      </c>
    </row>
    <row r="475" spans="1:3" x14ac:dyDescent="0.25">
      <c r="A475" s="12" t="s">
        <v>4343</v>
      </c>
      <c r="B475" t="s">
        <v>331</v>
      </c>
      <c r="C475" t="s">
        <v>487</v>
      </c>
    </row>
    <row r="476" spans="1:3" x14ac:dyDescent="0.25">
      <c r="A476" s="12" t="s">
        <v>4344</v>
      </c>
      <c r="B476" t="s">
        <v>331</v>
      </c>
      <c r="C476" t="s">
        <v>764</v>
      </c>
    </row>
    <row r="477" spans="1:3" x14ac:dyDescent="0.25">
      <c r="A477" s="12" t="s">
        <v>4345</v>
      </c>
      <c r="B477" t="s">
        <v>331</v>
      </c>
      <c r="C477" t="s">
        <v>487</v>
      </c>
    </row>
    <row r="478" spans="1:3" x14ac:dyDescent="0.25">
      <c r="A478" s="12" t="s">
        <v>4346</v>
      </c>
      <c r="B478" t="s">
        <v>331</v>
      </c>
      <c r="C478" t="s">
        <v>487</v>
      </c>
    </row>
    <row r="479" spans="1:3" x14ac:dyDescent="0.25">
      <c r="A479" s="12" t="s">
        <v>4347</v>
      </c>
      <c r="B479" t="s">
        <v>331</v>
      </c>
      <c r="C479" t="s">
        <v>487</v>
      </c>
    </row>
    <row r="480" spans="1:3" x14ac:dyDescent="0.25">
      <c r="A480" s="12" t="s">
        <v>4348</v>
      </c>
      <c r="B480" t="s">
        <v>331</v>
      </c>
      <c r="C480" t="s">
        <v>487</v>
      </c>
    </row>
    <row r="481" spans="1:3" x14ac:dyDescent="0.25">
      <c r="A481" s="12" t="s">
        <v>4349</v>
      </c>
      <c r="B481" t="s">
        <v>331</v>
      </c>
      <c r="C481" t="s">
        <v>764</v>
      </c>
    </row>
    <row r="482" spans="1:3" x14ac:dyDescent="0.25">
      <c r="A482" s="12" t="s">
        <v>4350</v>
      </c>
      <c r="B482" t="s">
        <v>331</v>
      </c>
      <c r="C482" t="s">
        <v>487</v>
      </c>
    </row>
    <row r="483" spans="1:3" x14ac:dyDescent="0.25">
      <c r="A483" s="12" t="s">
        <v>4351</v>
      </c>
      <c r="B483" t="s">
        <v>331</v>
      </c>
      <c r="C483" t="s">
        <v>487</v>
      </c>
    </row>
    <row r="484" spans="1:3" x14ac:dyDescent="0.25">
      <c r="A484" s="12" t="s">
        <v>4352</v>
      </c>
      <c r="B484" t="s">
        <v>331</v>
      </c>
      <c r="C484" t="s">
        <v>487</v>
      </c>
    </row>
    <row r="485" spans="1:3" x14ac:dyDescent="0.25">
      <c r="A485" s="12" t="s">
        <v>4353</v>
      </c>
      <c r="B485" t="s">
        <v>331</v>
      </c>
      <c r="C485" t="s">
        <v>487</v>
      </c>
    </row>
    <row r="486" spans="1:3" x14ac:dyDescent="0.25">
      <c r="A486" s="13"/>
    </row>
    <row r="487" spans="1:3" x14ac:dyDescent="0.25">
      <c r="A487" s="3" t="s">
        <v>4833</v>
      </c>
      <c r="B487" t="s">
        <v>335</v>
      </c>
      <c r="C487" t="s">
        <v>4832</v>
      </c>
    </row>
    <row r="489" spans="1:3" x14ac:dyDescent="0.25">
      <c r="A489" s="13"/>
    </row>
    <row r="491" spans="1:3" x14ac:dyDescent="0.25">
      <c r="A491" s="13"/>
    </row>
    <row r="492" spans="1:3" x14ac:dyDescent="0.25">
      <c r="A492" s="13"/>
    </row>
    <row r="493" spans="1:3" x14ac:dyDescent="0.25">
      <c r="A493" s="13"/>
    </row>
    <row r="494" spans="1:3" x14ac:dyDescent="0.25">
      <c r="A494" s="13"/>
    </row>
    <row r="495" spans="1:3" x14ac:dyDescent="0.25">
      <c r="A495" s="13"/>
    </row>
    <row r="496" spans="1:3" x14ac:dyDescent="0.25">
      <c r="A496" s="13"/>
    </row>
    <row r="497" spans="1:1" x14ac:dyDescent="0.25">
      <c r="A497" s="13"/>
    </row>
    <row r="498" spans="1:1" x14ac:dyDescent="0.25">
      <c r="A498" s="13"/>
    </row>
    <row r="499" spans="1:1" x14ac:dyDescent="0.25">
      <c r="A499" s="13"/>
    </row>
    <row r="500" spans="1:1" x14ac:dyDescent="0.25">
      <c r="A500" s="13"/>
    </row>
    <row r="501" spans="1:1" x14ac:dyDescent="0.25">
      <c r="A501" s="13"/>
    </row>
    <row r="502" spans="1:1" x14ac:dyDescent="0.25">
      <c r="A502" s="13"/>
    </row>
    <row r="503" spans="1:1" x14ac:dyDescent="0.25">
      <c r="A503" s="13"/>
    </row>
    <row r="504" spans="1:1" x14ac:dyDescent="0.25">
      <c r="A504" s="13"/>
    </row>
    <row r="505" spans="1:1" x14ac:dyDescent="0.25">
      <c r="A505" s="13"/>
    </row>
    <row r="506" spans="1:1" x14ac:dyDescent="0.25">
      <c r="A506" s="13"/>
    </row>
    <row r="507" spans="1:1" x14ac:dyDescent="0.25">
      <c r="A507" s="13"/>
    </row>
    <row r="508" spans="1:1" x14ac:dyDescent="0.25">
      <c r="A508" s="13"/>
    </row>
    <row r="509" spans="1:1" x14ac:dyDescent="0.25">
      <c r="A509" s="13"/>
    </row>
    <row r="510" spans="1:1" x14ac:dyDescent="0.25">
      <c r="A510" s="13"/>
    </row>
    <row r="511" spans="1:1" x14ac:dyDescent="0.25">
      <c r="A511" s="13"/>
    </row>
    <row r="512" spans="1:1" x14ac:dyDescent="0.25">
      <c r="A512" s="13"/>
    </row>
    <row r="513" spans="1:1" x14ac:dyDescent="0.25">
      <c r="A513" s="13"/>
    </row>
    <row r="514" spans="1:1" x14ac:dyDescent="0.25">
      <c r="A514" s="13"/>
    </row>
    <row r="515" spans="1:1" x14ac:dyDescent="0.25">
      <c r="A515" s="13"/>
    </row>
    <row r="516" spans="1:1" x14ac:dyDescent="0.25">
      <c r="A516" s="13"/>
    </row>
    <row r="517" spans="1:1" x14ac:dyDescent="0.25">
      <c r="A517" s="13"/>
    </row>
    <row r="518" spans="1:1" x14ac:dyDescent="0.25">
      <c r="A518" s="13"/>
    </row>
    <row r="519" spans="1:1" x14ac:dyDescent="0.25">
      <c r="A519" s="13"/>
    </row>
    <row r="520" spans="1:1" x14ac:dyDescent="0.25">
      <c r="A520" s="13"/>
    </row>
    <row r="521" spans="1:1" x14ac:dyDescent="0.25">
      <c r="A521" s="13"/>
    </row>
    <row r="522" spans="1:1" x14ac:dyDescent="0.25">
      <c r="A522" s="13"/>
    </row>
    <row r="523" spans="1:1" x14ac:dyDescent="0.25">
      <c r="A523" s="13"/>
    </row>
    <row r="524" spans="1:1" x14ac:dyDescent="0.25">
      <c r="A524" s="13"/>
    </row>
    <row r="525" spans="1:1" x14ac:dyDescent="0.25">
      <c r="A525" s="13"/>
    </row>
    <row r="526" spans="1:1" x14ac:dyDescent="0.25">
      <c r="A526" s="13"/>
    </row>
    <row r="527" spans="1:1" x14ac:dyDescent="0.25">
      <c r="A527" s="13"/>
    </row>
    <row r="528" spans="1:1" x14ac:dyDescent="0.25">
      <c r="A528" s="13"/>
    </row>
    <row r="529" spans="1:1" x14ac:dyDescent="0.25">
      <c r="A529" s="13"/>
    </row>
    <row r="530" spans="1:1" x14ac:dyDescent="0.25">
      <c r="A530" s="13"/>
    </row>
    <row r="531" spans="1:1" x14ac:dyDescent="0.25">
      <c r="A531" s="13"/>
    </row>
    <row r="532" spans="1:1" x14ac:dyDescent="0.25">
      <c r="A532" s="13"/>
    </row>
    <row r="533" spans="1:1" x14ac:dyDescent="0.25">
      <c r="A533" s="13"/>
    </row>
    <row r="534" spans="1:1" x14ac:dyDescent="0.25">
      <c r="A534" s="13"/>
    </row>
    <row r="535" spans="1:1" x14ac:dyDescent="0.25">
      <c r="A535" s="13"/>
    </row>
    <row r="536" spans="1:1" x14ac:dyDescent="0.25">
      <c r="A536" s="13"/>
    </row>
    <row r="537" spans="1:1" x14ac:dyDescent="0.25">
      <c r="A537" s="13"/>
    </row>
    <row r="538" spans="1:1" x14ac:dyDescent="0.25">
      <c r="A538" s="13"/>
    </row>
    <row r="539" spans="1:1" x14ac:dyDescent="0.25">
      <c r="A539" s="13"/>
    </row>
    <row r="540" spans="1:1" x14ac:dyDescent="0.25">
      <c r="A540" s="13"/>
    </row>
    <row r="541" spans="1:1" x14ac:dyDescent="0.25">
      <c r="A541" s="13"/>
    </row>
    <row r="542" spans="1:1" x14ac:dyDescent="0.25">
      <c r="A542" s="13"/>
    </row>
    <row r="543" spans="1:1" x14ac:dyDescent="0.25">
      <c r="A543" s="13"/>
    </row>
    <row r="544" spans="1:1" x14ac:dyDescent="0.25">
      <c r="A544" s="13"/>
    </row>
    <row r="545" spans="1:1" x14ac:dyDescent="0.25">
      <c r="A545" s="13"/>
    </row>
    <row r="546" spans="1:1" x14ac:dyDescent="0.25">
      <c r="A546" s="13"/>
    </row>
    <row r="547" spans="1:1" x14ac:dyDescent="0.25">
      <c r="A547" s="13"/>
    </row>
    <row r="548" spans="1:1" x14ac:dyDescent="0.25">
      <c r="A548" s="13"/>
    </row>
    <row r="549" spans="1:1" x14ac:dyDescent="0.25">
      <c r="A549" s="13"/>
    </row>
    <row r="550" spans="1:1" x14ac:dyDescent="0.25">
      <c r="A550" s="13"/>
    </row>
    <row r="551" spans="1:1" x14ac:dyDescent="0.25">
      <c r="A551" s="13"/>
    </row>
    <row r="552" spans="1:1" x14ac:dyDescent="0.25">
      <c r="A552" s="13"/>
    </row>
    <row r="553" spans="1:1" x14ac:dyDescent="0.25">
      <c r="A553" s="13"/>
    </row>
    <row r="554" spans="1:1" x14ac:dyDescent="0.25">
      <c r="A554" s="13"/>
    </row>
    <row r="555" spans="1:1" x14ac:dyDescent="0.25">
      <c r="A555" s="13"/>
    </row>
    <row r="556" spans="1:1" x14ac:dyDescent="0.25">
      <c r="A556" s="13"/>
    </row>
    <row r="557" spans="1:1" x14ac:dyDescent="0.25">
      <c r="A557" s="13"/>
    </row>
    <row r="558" spans="1:1" x14ac:dyDescent="0.25">
      <c r="A558" s="13"/>
    </row>
    <row r="559" spans="1:1" x14ac:dyDescent="0.25">
      <c r="A559" s="13"/>
    </row>
    <row r="560" spans="1:1" x14ac:dyDescent="0.25">
      <c r="A560" s="13"/>
    </row>
    <row r="561" spans="1:1" x14ac:dyDescent="0.25">
      <c r="A561" s="13"/>
    </row>
    <row r="562" spans="1:1" x14ac:dyDescent="0.25">
      <c r="A562" s="13"/>
    </row>
    <row r="563" spans="1:1" x14ac:dyDescent="0.25">
      <c r="A563" s="13"/>
    </row>
    <row r="564" spans="1:1" x14ac:dyDescent="0.25">
      <c r="A564" s="13"/>
    </row>
    <row r="565" spans="1:1" x14ac:dyDescent="0.25">
      <c r="A565" s="13"/>
    </row>
    <row r="566" spans="1:1" x14ac:dyDescent="0.25">
      <c r="A566" s="13"/>
    </row>
    <row r="567" spans="1:1" x14ac:dyDescent="0.25">
      <c r="A567" s="13"/>
    </row>
    <row r="568" spans="1:1" x14ac:dyDescent="0.25">
      <c r="A568" s="13"/>
    </row>
    <row r="569" spans="1:1" x14ac:dyDescent="0.25">
      <c r="A569" s="13"/>
    </row>
    <row r="570" spans="1:1" x14ac:dyDescent="0.25">
      <c r="A570" s="13"/>
    </row>
    <row r="571" spans="1:1" x14ac:dyDescent="0.25">
      <c r="A571" s="13"/>
    </row>
    <row r="572" spans="1:1" x14ac:dyDescent="0.25">
      <c r="A572" s="13"/>
    </row>
    <row r="573" spans="1:1" x14ac:dyDescent="0.25">
      <c r="A573" s="13"/>
    </row>
    <row r="574" spans="1:1" x14ac:dyDescent="0.25">
      <c r="A574" s="13"/>
    </row>
    <row r="575" spans="1:1" x14ac:dyDescent="0.25">
      <c r="A575" s="13"/>
    </row>
    <row r="576" spans="1:1" x14ac:dyDescent="0.25">
      <c r="A576" s="13"/>
    </row>
    <row r="577" spans="1:1" x14ac:dyDescent="0.25">
      <c r="A577" s="13"/>
    </row>
    <row r="578" spans="1:1" x14ac:dyDescent="0.25">
      <c r="A578" s="13"/>
    </row>
    <row r="579" spans="1:1" x14ac:dyDescent="0.25">
      <c r="A579" s="13"/>
    </row>
    <row r="580" spans="1:1" x14ac:dyDescent="0.25">
      <c r="A580" s="13"/>
    </row>
    <row r="581" spans="1:1" x14ac:dyDescent="0.25">
      <c r="A581" s="13"/>
    </row>
    <row r="582" spans="1:1" x14ac:dyDescent="0.25">
      <c r="A582" s="13"/>
    </row>
    <row r="583" spans="1:1" x14ac:dyDescent="0.25">
      <c r="A583" s="13"/>
    </row>
    <row r="584" spans="1:1" x14ac:dyDescent="0.25">
      <c r="A584" s="13"/>
    </row>
    <row r="585" spans="1:1" x14ac:dyDescent="0.25">
      <c r="A585" s="13"/>
    </row>
    <row r="586" spans="1:1" x14ac:dyDescent="0.25">
      <c r="A586" s="13"/>
    </row>
    <row r="587" spans="1:1" x14ac:dyDescent="0.25">
      <c r="A587" s="13"/>
    </row>
    <row r="588" spans="1:1" x14ac:dyDescent="0.25">
      <c r="A588" s="13"/>
    </row>
    <row r="589" spans="1:1" x14ac:dyDescent="0.25">
      <c r="A589" s="13"/>
    </row>
    <row r="590" spans="1:1" x14ac:dyDescent="0.25">
      <c r="A590" s="13"/>
    </row>
    <row r="591" spans="1:1" x14ac:dyDescent="0.25">
      <c r="A591" s="13"/>
    </row>
    <row r="592" spans="1:1" x14ac:dyDescent="0.25">
      <c r="A592" s="13"/>
    </row>
    <row r="593" spans="1:1" x14ac:dyDescent="0.25">
      <c r="A593" s="13"/>
    </row>
    <row r="594" spans="1:1" x14ac:dyDescent="0.25">
      <c r="A594" s="13"/>
    </row>
    <row r="595" spans="1:1" x14ac:dyDescent="0.25">
      <c r="A595" s="13"/>
    </row>
    <row r="596" spans="1:1" x14ac:dyDescent="0.25">
      <c r="A596" s="13"/>
    </row>
    <row r="597" spans="1:1" x14ac:dyDescent="0.25">
      <c r="A597" s="13"/>
    </row>
    <row r="598" spans="1:1" x14ac:dyDescent="0.25">
      <c r="A598" s="13"/>
    </row>
    <row r="599" spans="1:1" x14ac:dyDescent="0.25">
      <c r="A599" s="13"/>
    </row>
    <row r="600" spans="1:1" x14ac:dyDescent="0.25">
      <c r="A600" s="13"/>
    </row>
    <row r="601" spans="1:1" x14ac:dyDescent="0.25">
      <c r="A601" s="13"/>
    </row>
    <row r="602" spans="1:1" x14ac:dyDescent="0.25">
      <c r="A602" s="13"/>
    </row>
    <row r="603" spans="1:1" x14ac:dyDescent="0.25">
      <c r="A603" s="13"/>
    </row>
    <row r="604" spans="1:1" x14ac:dyDescent="0.25">
      <c r="A604" s="13"/>
    </row>
    <row r="605" spans="1:1" x14ac:dyDescent="0.25">
      <c r="A605" s="13"/>
    </row>
    <row r="606" spans="1:1" x14ac:dyDescent="0.25">
      <c r="A606" s="13"/>
    </row>
    <row r="607" spans="1:1" x14ac:dyDescent="0.25">
      <c r="A607" s="13"/>
    </row>
    <row r="608" spans="1:1" x14ac:dyDescent="0.25">
      <c r="A608" s="13"/>
    </row>
    <row r="609" spans="1:1" x14ac:dyDescent="0.25">
      <c r="A609" s="13"/>
    </row>
    <row r="610" spans="1:1" x14ac:dyDescent="0.25">
      <c r="A610" s="13"/>
    </row>
    <row r="611" spans="1:1" x14ac:dyDescent="0.25">
      <c r="A611" s="13"/>
    </row>
    <row r="612" spans="1:1" x14ac:dyDescent="0.25">
      <c r="A612" s="13"/>
    </row>
    <row r="613" spans="1:1" x14ac:dyDescent="0.25">
      <c r="A613" s="13"/>
    </row>
    <row r="614" spans="1:1" x14ac:dyDescent="0.25">
      <c r="A614" s="13"/>
    </row>
    <row r="615" spans="1:1" x14ac:dyDescent="0.25">
      <c r="A615" s="13"/>
    </row>
    <row r="616" spans="1:1" x14ac:dyDescent="0.25">
      <c r="A616" s="13"/>
    </row>
    <row r="617" spans="1:1" x14ac:dyDescent="0.25">
      <c r="A617" s="13"/>
    </row>
    <row r="618" spans="1:1" x14ac:dyDescent="0.25">
      <c r="A618" s="13"/>
    </row>
    <row r="619" spans="1:1" x14ac:dyDescent="0.25">
      <c r="A619" s="13"/>
    </row>
    <row r="620" spans="1:1" x14ac:dyDescent="0.25">
      <c r="A620" s="13"/>
    </row>
    <row r="621" spans="1:1" x14ac:dyDescent="0.25">
      <c r="A621" s="13"/>
    </row>
    <row r="622" spans="1:1" x14ac:dyDescent="0.25">
      <c r="A622" s="13"/>
    </row>
    <row r="623" spans="1:1" x14ac:dyDescent="0.25">
      <c r="A623" s="13"/>
    </row>
    <row r="624" spans="1:1" x14ac:dyDescent="0.25">
      <c r="A624" s="13"/>
    </row>
    <row r="625" spans="1:1" x14ac:dyDescent="0.25">
      <c r="A625" s="13"/>
    </row>
    <row r="626" spans="1:1" x14ac:dyDescent="0.25">
      <c r="A626" s="13"/>
    </row>
    <row r="627" spans="1:1" x14ac:dyDescent="0.25">
      <c r="A627" s="13"/>
    </row>
    <row r="628" spans="1:1" x14ac:dyDescent="0.25">
      <c r="A628" s="13"/>
    </row>
    <row r="629" spans="1:1" x14ac:dyDescent="0.25">
      <c r="A629" s="13"/>
    </row>
    <row r="630" spans="1:1" x14ac:dyDescent="0.25">
      <c r="A630" s="13"/>
    </row>
    <row r="631" spans="1:1" x14ac:dyDescent="0.25">
      <c r="A631" s="13"/>
    </row>
    <row r="632" spans="1:1" x14ac:dyDescent="0.25">
      <c r="A632" s="13"/>
    </row>
    <row r="633" spans="1:1" x14ac:dyDescent="0.25">
      <c r="A633" s="13"/>
    </row>
    <row r="634" spans="1:1" x14ac:dyDescent="0.25">
      <c r="A634" s="13"/>
    </row>
    <row r="635" spans="1:1" x14ac:dyDescent="0.25">
      <c r="A635" s="13"/>
    </row>
    <row r="636" spans="1:1" x14ac:dyDescent="0.25">
      <c r="A636" s="13"/>
    </row>
    <row r="637" spans="1:1" x14ac:dyDescent="0.25">
      <c r="A637" s="13"/>
    </row>
    <row r="638" spans="1:1" x14ac:dyDescent="0.25">
      <c r="A638" s="13"/>
    </row>
    <row r="639" spans="1:1" x14ac:dyDescent="0.25">
      <c r="A639" s="13"/>
    </row>
    <row r="640" spans="1:1" x14ac:dyDescent="0.25">
      <c r="A640" s="13"/>
    </row>
    <row r="641" spans="1:1" x14ac:dyDescent="0.25">
      <c r="A641" s="13"/>
    </row>
    <row r="642" spans="1:1" x14ac:dyDescent="0.25">
      <c r="A642" s="13"/>
    </row>
    <row r="643" spans="1:1" x14ac:dyDescent="0.25">
      <c r="A643" s="13"/>
    </row>
    <row r="644" spans="1:1" x14ac:dyDescent="0.25">
      <c r="A644" s="13"/>
    </row>
    <row r="645" spans="1:1" x14ac:dyDescent="0.25">
      <c r="A645" s="13"/>
    </row>
    <row r="646" spans="1:1" x14ac:dyDescent="0.25">
      <c r="A646" s="13"/>
    </row>
    <row r="647" spans="1:1" x14ac:dyDescent="0.25">
      <c r="A647" s="13"/>
    </row>
    <row r="648" spans="1:1" x14ac:dyDescent="0.25">
      <c r="A648" s="13"/>
    </row>
    <row r="649" spans="1:1" x14ac:dyDescent="0.25">
      <c r="A649" s="13"/>
    </row>
    <row r="650" spans="1:1" x14ac:dyDescent="0.25">
      <c r="A650" s="13"/>
    </row>
    <row r="651" spans="1:1" x14ac:dyDescent="0.25">
      <c r="A651" s="13"/>
    </row>
    <row r="652" spans="1:1" x14ac:dyDescent="0.25">
      <c r="A652" s="13"/>
    </row>
    <row r="653" spans="1:1" x14ac:dyDescent="0.25">
      <c r="A653" s="13"/>
    </row>
    <row r="654" spans="1:1" x14ac:dyDescent="0.25">
      <c r="A654" s="13"/>
    </row>
    <row r="655" spans="1:1" x14ac:dyDescent="0.25">
      <c r="A655" s="13"/>
    </row>
    <row r="656" spans="1:1" x14ac:dyDescent="0.25">
      <c r="A656" s="13"/>
    </row>
    <row r="657" spans="1:1" x14ac:dyDescent="0.25">
      <c r="A657" s="13"/>
    </row>
    <row r="658" spans="1:1" x14ac:dyDescent="0.25">
      <c r="A658" s="13"/>
    </row>
    <row r="659" spans="1:1" x14ac:dyDescent="0.25">
      <c r="A659" s="13"/>
    </row>
    <row r="660" spans="1:1" x14ac:dyDescent="0.25">
      <c r="A660" s="13"/>
    </row>
    <row r="661" spans="1:1" x14ac:dyDescent="0.25">
      <c r="A661" s="13"/>
    </row>
    <row r="662" spans="1:1" x14ac:dyDescent="0.25">
      <c r="A662" s="13"/>
    </row>
    <row r="663" spans="1:1" x14ac:dyDescent="0.25">
      <c r="A663" s="13"/>
    </row>
    <row r="664" spans="1:1" x14ac:dyDescent="0.25">
      <c r="A664" s="13"/>
    </row>
    <row r="665" spans="1:1" x14ac:dyDescent="0.25">
      <c r="A665" s="13"/>
    </row>
    <row r="666" spans="1:1" x14ac:dyDescent="0.25">
      <c r="A666" s="13"/>
    </row>
    <row r="667" spans="1:1" x14ac:dyDescent="0.25">
      <c r="A667" s="13"/>
    </row>
    <row r="668" spans="1:1" x14ac:dyDescent="0.25">
      <c r="A668" s="13"/>
    </row>
    <row r="669" spans="1:1" x14ac:dyDescent="0.25">
      <c r="A669" s="13"/>
    </row>
    <row r="670" spans="1:1" x14ac:dyDescent="0.25">
      <c r="A670" s="13"/>
    </row>
    <row r="671" spans="1:1" x14ac:dyDescent="0.25">
      <c r="A671" s="13"/>
    </row>
    <row r="672" spans="1:1" x14ac:dyDescent="0.25">
      <c r="A672" s="13"/>
    </row>
    <row r="673" spans="1:1" x14ac:dyDescent="0.25">
      <c r="A673" s="13"/>
    </row>
    <row r="674" spans="1:1" x14ac:dyDescent="0.25">
      <c r="A674" s="13"/>
    </row>
    <row r="675" spans="1:1" x14ac:dyDescent="0.25">
      <c r="A675" s="13"/>
    </row>
    <row r="676" spans="1:1" x14ac:dyDescent="0.25">
      <c r="A676" s="13"/>
    </row>
    <row r="677" spans="1:1" x14ac:dyDescent="0.25">
      <c r="A677" s="13"/>
    </row>
    <row r="678" spans="1:1" x14ac:dyDescent="0.25">
      <c r="A678" s="13"/>
    </row>
    <row r="679" spans="1:1" x14ac:dyDescent="0.25">
      <c r="A679" s="13"/>
    </row>
    <row r="680" spans="1:1" x14ac:dyDescent="0.25">
      <c r="A680" s="13"/>
    </row>
    <row r="681" spans="1:1" x14ac:dyDescent="0.25">
      <c r="A681" s="13"/>
    </row>
    <row r="682" spans="1:1" x14ac:dyDescent="0.25">
      <c r="A682" s="13"/>
    </row>
    <row r="683" spans="1:1" x14ac:dyDescent="0.25">
      <c r="A683" s="13"/>
    </row>
    <row r="684" spans="1:1" x14ac:dyDescent="0.25">
      <c r="A684" s="13"/>
    </row>
    <row r="685" spans="1:1" x14ac:dyDescent="0.25">
      <c r="A685" s="13"/>
    </row>
    <row r="686" spans="1:1" x14ac:dyDescent="0.25">
      <c r="A686" s="13"/>
    </row>
    <row r="687" spans="1:1" x14ac:dyDescent="0.25">
      <c r="A687" s="13"/>
    </row>
    <row r="688" spans="1:1" x14ac:dyDescent="0.25">
      <c r="A688" s="13"/>
    </row>
    <row r="689" spans="1:1" x14ac:dyDescent="0.25">
      <c r="A689" s="13"/>
    </row>
    <row r="690" spans="1:1" x14ac:dyDescent="0.25">
      <c r="A690" s="13"/>
    </row>
    <row r="691" spans="1:1" x14ac:dyDescent="0.25">
      <c r="A691" s="13"/>
    </row>
    <row r="692" spans="1:1" x14ac:dyDescent="0.25">
      <c r="A692" s="13"/>
    </row>
    <row r="693" spans="1:1" x14ac:dyDescent="0.25">
      <c r="A693" s="13"/>
    </row>
    <row r="694" spans="1:1" x14ac:dyDescent="0.25">
      <c r="A694" s="13"/>
    </row>
    <row r="695" spans="1:1" x14ac:dyDescent="0.25">
      <c r="A695" s="13"/>
    </row>
    <row r="696" spans="1:1" x14ac:dyDescent="0.25">
      <c r="A696" s="13"/>
    </row>
    <row r="697" spans="1:1" x14ac:dyDescent="0.25">
      <c r="A697" s="13"/>
    </row>
    <row r="698" spans="1:1" x14ac:dyDescent="0.25">
      <c r="A698" s="13"/>
    </row>
    <row r="699" spans="1:1" x14ac:dyDescent="0.25">
      <c r="A699" s="13"/>
    </row>
    <row r="700" spans="1:1" x14ac:dyDescent="0.25">
      <c r="A700" s="13"/>
    </row>
    <row r="701" spans="1:1" x14ac:dyDescent="0.25">
      <c r="A701" s="13"/>
    </row>
    <row r="702" spans="1:1" x14ac:dyDescent="0.25">
      <c r="A702" s="13"/>
    </row>
    <row r="703" spans="1:1" x14ac:dyDescent="0.25">
      <c r="A703" s="13"/>
    </row>
    <row r="704" spans="1:1" x14ac:dyDescent="0.25">
      <c r="A704" s="13"/>
    </row>
    <row r="705" spans="1:1" x14ac:dyDescent="0.25">
      <c r="A705" s="13"/>
    </row>
    <row r="706" spans="1:1" x14ac:dyDescent="0.25">
      <c r="A706" s="13"/>
    </row>
    <row r="707" spans="1:1" x14ac:dyDescent="0.25">
      <c r="A707" s="13"/>
    </row>
    <row r="708" spans="1:1" x14ac:dyDescent="0.25">
      <c r="A708" s="13"/>
    </row>
    <row r="709" spans="1:1" x14ac:dyDescent="0.25">
      <c r="A709" s="13"/>
    </row>
    <row r="710" spans="1:1" x14ac:dyDescent="0.25">
      <c r="A710" s="13"/>
    </row>
    <row r="711" spans="1:1" x14ac:dyDescent="0.25">
      <c r="A711" s="13"/>
    </row>
    <row r="712" spans="1:1" x14ac:dyDescent="0.25">
      <c r="A712" s="13"/>
    </row>
    <row r="713" spans="1:1" x14ac:dyDescent="0.25">
      <c r="A713" s="13"/>
    </row>
    <row r="714" spans="1:1" x14ac:dyDescent="0.25">
      <c r="A714" s="13"/>
    </row>
    <row r="715" spans="1:1" x14ac:dyDescent="0.25">
      <c r="A715" s="13"/>
    </row>
    <row r="716" spans="1:1" x14ac:dyDescent="0.25">
      <c r="A716" s="13"/>
    </row>
    <row r="717" spans="1:1" x14ac:dyDescent="0.25">
      <c r="A717" s="13"/>
    </row>
    <row r="718" spans="1:1" x14ac:dyDescent="0.25">
      <c r="A718" s="13"/>
    </row>
    <row r="719" spans="1:1" x14ac:dyDescent="0.25">
      <c r="A719" s="13"/>
    </row>
    <row r="720" spans="1:1" x14ac:dyDescent="0.25">
      <c r="A720" s="13"/>
    </row>
    <row r="721" spans="1:1" x14ac:dyDescent="0.25">
      <c r="A721" s="13"/>
    </row>
    <row r="722" spans="1:1" x14ac:dyDescent="0.25">
      <c r="A722" s="13"/>
    </row>
    <row r="723" spans="1:1" x14ac:dyDescent="0.25">
      <c r="A723" s="13"/>
    </row>
    <row r="724" spans="1:1" x14ac:dyDescent="0.25">
      <c r="A724" s="13"/>
    </row>
    <row r="725" spans="1:1" x14ac:dyDescent="0.25">
      <c r="A725" s="13"/>
    </row>
    <row r="726" spans="1:1" x14ac:dyDescent="0.25">
      <c r="A726" s="13"/>
    </row>
    <row r="727" spans="1:1" x14ac:dyDescent="0.25">
      <c r="A727" s="13"/>
    </row>
    <row r="728" spans="1:1" x14ac:dyDescent="0.25">
      <c r="A728" s="13"/>
    </row>
    <row r="729" spans="1:1" x14ac:dyDescent="0.25">
      <c r="A729" s="13"/>
    </row>
    <row r="730" spans="1:1" x14ac:dyDescent="0.25">
      <c r="A730" s="13"/>
    </row>
    <row r="731" spans="1:1" x14ac:dyDescent="0.25">
      <c r="A731" s="13"/>
    </row>
    <row r="732" spans="1:1" x14ac:dyDescent="0.25">
      <c r="A732" s="13"/>
    </row>
    <row r="733" spans="1:1" x14ac:dyDescent="0.25">
      <c r="A733" s="13"/>
    </row>
    <row r="734" spans="1:1" x14ac:dyDescent="0.25">
      <c r="A734" s="13"/>
    </row>
    <row r="735" spans="1:1" x14ac:dyDescent="0.25">
      <c r="A735" s="13"/>
    </row>
    <row r="736" spans="1:1" x14ac:dyDescent="0.25">
      <c r="A736" s="13"/>
    </row>
    <row r="737" spans="1:1" x14ac:dyDescent="0.25">
      <c r="A737" s="13"/>
    </row>
    <row r="738" spans="1:1" x14ac:dyDescent="0.25">
      <c r="A738" s="13"/>
    </row>
    <row r="739" spans="1:1" x14ac:dyDescent="0.25">
      <c r="A739" s="13"/>
    </row>
    <row r="740" spans="1:1" x14ac:dyDescent="0.25">
      <c r="A740" s="13"/>
    </row>
    <row r="741" spans="1:1" x14ac:dyDescent="0.25">
      <c r="A741" s="13"/>
    </row>
    <row r="742" spans="1:1" x14ac:dyDescent="0.25">
      <c r="A742" s="13"/>
    </row>
    <row r="743" spans="1:1" x14ac:dyDescent="0.25">
      <c r="A743" s="13"/>
    </row>
    <row r="744" spans="1:1" x14ac:dyDescent="0.25">
      <c r="A744" s="13"/>
    </row>
    <row r="745" spans="1:1" x14ac:dyDescent="0.25">
      <c r="A745" s="13"/>
    </row>
    <row r="746" spans="1:1" x14ac:dyDescent="0.25">
      <c r="A746" s="13"/>
    </row>
    <row r="747" spans="1:1" x14ac:dyDescent="0.25">
      <c r="A747" s="13"/>
    </row>
    <row r="748" spans="1:1" x14ac:dyDescent="0.25">
      <c r="A748" s="13"/>
    </row>
    <row r="749" spans="1:1" x14ac:dyDescent="0.25">
      <c r="A749" s="13"/>
    </row>
    <row r="750" spans="1:1" x14ac:dyDescent="0.25">
      <c r="A750" s="13"/>
    </row>
    <row r="751" spans="1:1" x14ac:dyDescent="0.25">
      <c r="A751" s="13"/>
    </row>
    <row r="752" spans="1:1" x14ac:dyDescent="0.25">
      <c r="A752" s="13"/>
    </row>
    <row r="753" spans="1:1" x14ac:dyDescent="0.25">
      <c r="A753" s="13"/>
    </row>
    <row r="754" spans="1:1" x14ac:dyDescent="0.25">
      <c r="A754" s="13"/>
    </row>
    <row r="755" spans="1:1" x14ac:dyDescent="0.25">
      <c r="A755" s="13"/>
    </row>
    <row r="756" spans="1:1" x14ac:dyDescent="0.25">
      <c r="A756" s="13"/>
    </row>
    <row r="757" spans="1:1" x14ac:dyDescent="0.25">
      <c r="A757" s="13"/>
    </row>
    <row r="758" spans="1:1" x14ac:dyDescent="0.25">
      <c r="A758" s="13"/>
    </row>
    <row r="759" spans="1:1" x14ac:dyDescent="0.25">
      <c r="A759" s="13"/>
    </row>
    <row r="760" spans="1:1" x14ac:dyDescent="0.25">
      <c r="A760" s="13"/>
    </row>
    <row r="761" spans="1:1" x14ac:dyDescent="0.25">
      <c r="A761" s="13"/>
    </row>
    <row r="762" spans="1:1" x14ac:dyDescent="0.25">
      <c r="A762" s="13"/>
    </row>
    <row r="763" spans="1:1" x14ac:dyDescent="0.25">
      <c r="A763" s="13"/>
    </row>
    <row r="764" spans="1:1" x14ac:dyDescent="0.25">
      <c r="A764" s="13"/>
    </row>
    <row r="765" spans="1:1" x14ac:dyDescent="0.25">
      <c r="A765" s="13"/>
    </row>
    <row r="766" spans="1:1" x14ac:dyDescent="0.25">
      <c r="A766" s="13"/>
    </row>
    <row r="767" spans="1:1" x14ac:dyDescent="0.25">
      <c r="A767" s="13"/>
    </row>
    <row r="768" spans="1:1" x14ac:dyDescent="0.25">
      <c r="A768" s="13"/>
    </row>
    <row r="769" spans="1:1" x14ac:dyDescent="0.25">
      <c r="A769" s="13"/>
    </row>
    <row r="770" spans="1:1" x14ac:dyDescent="0.25">
      <c r="A770" s="13"/>
    </row>
    <row r="771" spans="1:1" x14ac:dyDescent="0.25">
      <c r="A771" s="13"/>
    </row>
    <row r="772" spans="1:1" x14ac:dyDescent="0.25">
      <c r="A772" s="13"/>
    </row>
    <row r="773" spans="1:1" x14ac:dyDescent="0.25">
      <c r="A773" s="13"/>
    </row>
    <row r="774" spans="1:1" x14ac:dyDescent="0.25">
      <c r="A774" s="13"/>
    </row>
    <row r="775" spans="1:1" x14ac:dyDescent="0.25">
      <c r="A775" s="13"/>
    </row>
    <row r="776" spans="1:1" x14ac:dyDescent="0.25">
      <c r="A776" s="13"/>
    </row>
    <row r="777" spans="1:1" x14ac:dyDescent="0.25">
      <c r="A777" s="13"/>
    </row>
    <row r="778" spans="1:1" x14ac:dyDescent="0.25">
      <c r="A778" s="13"/>
    </row>
    <row r="779" spans="1:1" x14ac:dyDescent="0.25">
      <c r="A779" s="13"/>
    </row>
    <row r="780" spans="1:1" x14ac:dyDescent="0.25">
      <c r="A780" s="13"/>
    </row>
    <row r="781" spans="1:1" x14ac:dyDescent="0.25">
      <c r="A781" s="13"/>
    </row>
    <row r="782" spans="1:1" x14ac:dyDescent="0.25">
      <c r="A782" s="13"/>
    </row>
    <row r="783" spans="1:1" x14ac:dyDescent="0.25">
      <c r="A783" s="13"/>
    </row>
    <row r="784" spans="1:1" x14ac:dyDescent="0.25">
      <c r="A784" s="13"/>
    </row>
    <row r="785" spans="1:1" x14ac:dyDescent="0.25">
      <c r="A785" s="13"/>
    </row>
    <row r="786" spans="1:1" x14ac:dyDescent="0.25">
      <c r="A786" s="13"/>
    </row>
    <row r="787" spans="1:1" x14ac:dyDescent="0.25">
      <c r="A787" s="13"/>
    </row>
    <row r="788" spans="1:1" x14ac:dyDescent="0.25">
      <c r="A788" s="13"/>
    </row>
    <row r="789" spans="1:1" x14ac:dyDescent="0.25">
      <c r="A789" s="13"/>
    </row>
    <row r="790" spans="1:1" x14ac:dyDescent="0.25">
      <c r="A790" s="13"/>
    </row>
    <row r="791" spans="1:1" x14ac:dyDescent="0.25">
      <c r="A791" s="13"/>
    </row>
    <row r="792" spans="1:1" x14ac:dyDescent="0.25">
      <c r="A792" s="13"/>
    </row>
    <row r="793" spans="1:1" x14ac:dyDescent="0.25">
      <c r="A793" s="13"/>
    </row>
    <row r="794" spans="1:1" x14ac:dyDescent="0.25">
      <c r="A794" s="13"/>
    </row>
    <row r="795" spans="1:1" x14ac:dyDescent="0.25">
      <c r="A795" s="13"/>
    </row>
    <row r="796" spans="1:1" x14ac:dyDescent="0.25">
      <c r="A796" s="13"/>
    </row>
    <row r="797" spans="1:1" x14ac:dyDescent="0.25">
      <c r="A797" s="13"/>
    </row>
    <row r="798" spans="1:1" x14ac:dyDescent="0.25">
      <c r="A798" s="13"/>
    </row>
    <row r="799" spans="1:1" x14ac:dyDescent="0.25">
      <c r="A799" s="13"/>
    </row>
    <row r="800" spans="1:1" x14ac:dyDescent="0.25">
      <c r="A800" s="13"/>
    </row>
    <row r="801" spans="1:1" x14ac:dyDescent="0.25">
      <c r="A801" s="13"/>
    </row>
    <row r="802" spans="1:1" x14ac:dyDescent="0.25">
      <c r="A802" s="13"/>
    </row>
    <row r="803" spans="1:1" x14ac:dyDescent="0.25">
      <c r="A803" s="13"/>
    </row>
    <row r="804" spans="1:1" x14ac:dyDescent="0.25">
      <c r="A804" s="13"/>
    </row>
    <row r="805" spans="1:1" x14ac:dyDescent="0.25">
      <c r="A805" s="13"/>
    </row>
    <row r="806" spans="1:1" x14ac:dyDescent="0.25">
      <c r="A806" s="13"/>
    </row>
    <row r="807" spans="1:1" x14ac:dyDescent="0.25">
      <c r="A807" s="13"/>
    </row>
    <row r="808" spans="1:1" x14ac:dyDescent="0.25">
      <c r="A808" s="13"/>
    </row>
    <row r="809" spans="1:1" x14ac:dyDescent="0.25">
      <c r="A809" s="13"/>
    </row>
    <row r="810" spans="1:1" x14ac:dyDescent="0.25">
      <c r="A810" s="13"/>
    </row>
    <row r="811" spans="1:1" x14ac:dyDescent="0.25">
      <c r="A811" s="13"/>
    </row>
    <row r="812" spans="1:1" x14ac:dyDescent="0.25">
      <c r="A812" s="13"/>
    </row>
    <row r="813" spans="1:1" x14ac:dyDescent="0.25">
      <c r="A813" s="13"/>
    </row>
    <row r="814" spans="1:1" x14ac:dyDescent="0.25">
      <c r="A814" s="13"/>
    </row>
    <row r="815" spans="1:1" x14ac:dyDescent="0.25">
      <c r="A815" s="13"/>
    </row>
    <row r="816" spans="1:1" x14ac:dyDescent="0.25">
      <c r="A816" s="13"/>
    </row>
    <row r="817" spans="1:1" x14ac:dyDescent="0.25">
      <c r="A817" s="13"/>
    </row>
    <row r="818" spans="1:1" x14ac:dyDescent="0.25">
      <c r="A818" s="13"/>
    </row>
    <row r="819" spans="1:1" x14ac:dyDescent="0.25">
      <c r="A819" s="13"/>
    </row>
    <row r="820" spans="1:1" x14ac:dyDescent="0.25">
      <c r="A820" s="13"/>
    </row>
    <row r="821" spans="1:1" x14ac:dyDescent="0.25">
      <c r="A821" s="13"/>
    </row>
    <row r="822" spans="1:1" x14ac:dyDescent="0.25">
      <c r="A822" s="13"/>
    </row>
    <row r="823" spans="1:1" x14ac:dyDescent="0.25">
      <c r="A823" s="13"/>
    </row>
    <row r="824" spans="1:1" x14ac:dyDescent="0.25">
      <c r="A824" s="13"/>
    </row>
    <row r="825" spans="1:1" x14ac:dyDescent="0.25">
      <c r="A825" s="13"/>
    </row>
    <row r="826" spans="1:1" x14ac:dyDescent="0.25">
      <c r="A826" s="13"/>
    </row>
    <row r="827" spans="1:1" x14ac:dyDescent="0.25">
      <c r="A827" s="13"/>
    </row>
    <row r="828" spans="1:1" x14ac:dyDescent="0.25">
      <c r="A828" s="13"/>
    </row>
    <row r="829" spans="1:1" x14ac:dyDescent="0.25">
      <c r="A829" s="13"/>
    </row>
    <row r="830" spans="1:1" x14ac:dyDescent="0.25">
      <c r="A830" s="13"/>
    </row>
    <row r="831" spans="1:1" x14ac:dyDescent="0.25">
      <c r="A831" s="13"/>
    </row>
    <row r="832" spans="1:1" x14ac:dyDescent="0.25">
      <c r="A832" s="13"/>
    </row>
    <row r="833" spans="1:1" x14ac:dyDescent="0.25">
      <c r="A833" s="13"/>
    </row>
    <row r="834" spans="1:1" x14ac:dyDescent="0.25">
      <c r="A834" s="13"/>
    </row>
    <row r="835" spans="1:1" x14ac:dyDescent="0.25">
      <c r="A835" s="13"/>
    </row>
    <row r="836" spans="1:1" x14ac:dyDescent="0.25">
      <c r="A836" s="13"/>
    </row>
    <row r="837" spans="1:1" x14ac:dyDescent="0.25">
      <c r="A837" s="13"/>
    </row>
    <row r="838" spans="1:1" x14ac:dyDescent="0.25">
      <c r="A838" s="13"/>
    </row>
    <row r="839" spans="1:1" x14ac:dyDescent="0.25">
      <c r="A839" s="13"/>
    </row>
    <row r="840" spans="1:1" x14ac:dyDescent="0.25">
      <c r="A840" s="13"/>
    </row>
    <row r="841" spans="1:1" x14ac:dyDescent="0.25">
      <c r="A841" s="13"/>
    </row>
    <row r="842" spans="1:1" x14ac:dyDescent="0.25">
      <c r="A842" s="13"/>
    </row>
    <row r="843" spans="1:1" x14ac:dyDescent="0.25">
      <c r="A843" s="13"/>
    </row>
    <row r="844" spans="1:1" x14ac:dyDescent="0.25">
      <c r="A844" s="13"/>
    </row>
    <row r="845" spans="1:1" x14ac:dyDescent="0.25">
      <c r="A845" s="13"/>
    </row>
    <row r="846" spans="1:1" x14ac:dyDescent="0.25">
      <c r="A846" s="13"/>
    </row>
    <row r="847" spans="1:1" x14ac:dyDescent="0.25">
      <c r="A847" s="13"/>
    </row>
    <row r="848" spans="1:1" x14ac:dyDescent="0.25">
      <c r="A848" s="13"/>
    </row>
    <row r="849" spans="1:1" x14ac:dyDescent="0.25">
      <c r="A849" s="13"/>
    </row>
    <row r="850" spans="1:1" x14ac:dyDescent="0.25">
      <c r="A850" s="13"/>
    </row>
    <row r="851" spans="1:1" x14ac:dyDescent="0.25">
      <c r="A851" s="13"/>
    </row>
    <row r="852" spans="1:1" x14ac:dyDescent="0.25">
      <c r="A852" s="13"/>
    </row>
    <row r="853" spans="1:1" x14ac:dyDescent="0.25">
      <c r="A853" s="13"/>
    </row>
    <row r="854" spans="1:1" x14ac:dyDescent="0.25">
      <c r="A854" s="13"/>
    </row>
    <row r="855" spans="1:1" x14ac:dyDescent="0.25">
      <c r="A855" s="13"/>
    </row>
    <row r="856" spans="1:1" x14ac:dyDescent="0.25">
      <c r="A856" s="13"/>
    </row>
    <row r="857" spans="1:1" x14ac:dyDescent="0.25">
      <c r="A857" s="13"/>
    </row>
    <row r="858" spans="1:1" x14ac:dyDescent="0.25">
      <c r="A858" s="13"/>
    </row>
    <row r="859" spans="1:1" x14ac:dyDescent="0.25">
      <c r="A859" s="13"/>
    </row>
    <row r="860" spans="1:1" x14ac:dyDescent="0.25">
      <c r="A860" s="13"/>
    </row>
    <row r="861" spans="1:1" x14ac:dyDescent="0.25">
      <c r="A861" s="13"/>
    </row>
    <row r="862" spans="1:1" x14ac:dyDescent="0.25">
      <c r="A862" s="13"/>
    </row>
    <row r="863" spans="1:1" x14ac:dyDescent="0.25">
      <c r="A863" s="13"/>
    </row>
    <row r="864" spans="1:1" x14ac:dyDescent="0.25">
      <c r="A864" s="13"/>
    </row>
    <row r="865" spans="1:1" x14ac:dyDescent="0.25">
      <c r="A865" s="13"/>
    </row>
    <row r="866" spans="1:1" x14ac:dyDescent="0.25">
      <c r="A866" s="13"/>
    </row>
    <row r="867" spans="1:1" x14ac:dyDescent="0.25">
      <c r="A867" s="13"/>
    </row>
    <row r="868" spans="1:1" x14ac:dyDescent="0.25">
      <c r="A868" s="13"/>
    </row>
    <row r="869" spans="1:1" x14ac:dyDescent="0.25">
      <c r="A869" s="13"/>
    </row>
    <row r="870" spans="1:1" x14ac:dyDescent="0.25">
      <c r="A870" s="13"/>
    </row>
    <row r="871" spans="1:1" x14ac:dyDescent="0.25">
      <c r="A871" s="13"/>
    </row>
    <row r="872" spans="1:1" x14ac:dyDescent="0.25">
      <c r="A872" s="13"/>
    </row>
    <row r="873" spans="1:1" x14ac:dyDescent="0.25">
      <c r="A873" s="13"/>
    </row>
    <row r="874" spans="1:1" x14ac:dyDescent="0.25">
      <c r="A874" s="13"/>
    </row>
    <row r="875" spans="1:1" x14ac:dyDescent="0.25">
      <c r="A875" s="13"/>
    </row>
    <row r="876" spans="1:1" x14ac:dyDescent="0.25">
      <c r="A876" s="13"/>
    </row>
    <row r="877" spans="1:1" x14ac:dyDescent="0.25">
      <c r="A877" s="13"/>
    </row>
    <row r="878" spans="1:1" x14ac:dyDescent="0.25">
      <c r="A878" s="13"/>
    </row>
    <row r="879" spans="1:1" x14ac:dyDescent="0.25">
      <c r="A879" s="13"/>
    </row>
    <row r="880" spans="1:1" x14ac:dyDescent="0.25">
      <c r="A880" s="13"/>
    </row>
    <row r="881" spans="1:1" x14ac:dyDescent="0.25">
      <c r="A881" s="13"/>
    </row>
    <row r="882" spans="1:1" x14ac:dyDescent="0.25">
      <c r="A882" s="13"/>
    </row>
    <row r="883" spans="1:1" x14ac:dyDescent="0.25">
      <c r="A883" s="13"/>
    </row>
    <row r="884" spans="1:1" x14ac:dyDescent="0.25">
      <c r="A884" s="13"/>
    </row>
    <row r="885" spans="1:1" x14ac:dyDescent="0.25">
      <c r="A885" s="13"/>
    </row>
    <row r="886" spans="1:1" x14ac:dyDescent="0.25">
      <c r="A886" s="13"/>
    </row>
    <row r="887" spans="1:1" x14ac:dyDescent="0.25">
      <c r="A887" s="13"/>
    </row>
    <row r="888" spans="1:1" x14ac:dyDescent="0.25">
      <c r="A888" s="13"/>
    </row>
    <row r="889" spans="1:1" x14ac:dyDescent="0.25">
      <c r="A889" s="13"/>
    </row>
    <row r="890" spans="1:1" x14ac:dyDescent="0.25">
      <c r="A890" s="13"/>
    </row>
    <row r="891" spans="1:1" x14ac:dyDescent="0.25">
      <c r="A891" s="13"/>
    </row>
    <row r="892" spans="1:1" x14ac:dyDescent="0.25">
      <c r="A892" s="13"/>
    </row>
    <row r="893" spans="1:1" x14ac:dyDescent="0.25">
      <c r="A893" s="13"/>
    </row>
    <row r="894" spans="1:1" x14ac:dyDescent="0.25">
      <c r="A894" s="13"/>
    </row>
    <row r="895" spans="1:1" x14ac:dyDescent="0.25">
      <c r="A895" s="13"/>
    </row>
    <row r="896" spans="1:1" x14ac:dyDescent="0.25">
      <c r="A896" s="13"/>
    </row>
    <row r="897" spans="1:1" x14ac:dyDescent="0.25">
      <c r="A897" s="13"/>
    </row>
    <row r="898" spans="1:1" x14ac:dyDescent="0.25">
      <c r="A898" s="13"/>
    </row>
    <row r="899" spans="1:1" x14ac:dyDescent="0.25">
      <c r="A899" s="13"/>
    </row>
    <row r="900" spans="1:1" x14ac:dyDescent="0.25">
      <c r="A900" s="13"/>
    </row>
    <row r="901" spans="1:1" x14ac:dyDescent="0.25">
      <c r="A901" s="13"/>
    </row>
    <row r="902" spans="1:1" x14ac:dyDescent="0.25">
      <c r="A902" s="13"/>
    </row>
    <row r="903" spans="1:1" x14ac:dyDescent="0.25">
      <c r="A903" s="13"/>
    </row>
    <row r="904" spans="1:1" x14ac:dyDescent="0.25">
      <c r="A904" s="13"/>
    </row>
    <row r="905" spans="1:1" x14ac:dyDescent="0.25">
      <c r="A905" s="13"/>
    </row>
    <row r="906" spans="1:1" x14ac:dyDescent="0.25">
      <c r="A906" s="13"/>
    </row>
    <row r="907" spans="1:1" x14ac:dyDescent="0.25">
      <c r="A907" s="13"/>
    </row>
    <row r="908" spans="1:1" x14ac:dyDescent="0.25">
      <c r="A908" s="13"/>
    </row>
    <row r="909" spans="1:1" x14ac:dyDescent="0.25">
      <c r="A909" s="13"/>
    </row>
    <row r="910" spans="1:1" x14ac:dyDescent="0.25">
      <c r="A910" s="13"/>
    </row>
    <row r="911" spans="1:1" x14ac:dyDescent="0.25">
      <c r="A911" s="13"/>
    </row>
    <row r="912" spans="1:1" x14ac:dyDescent="0.25">
      <c r="A912" s="13"/>
    </row>
    <row r="913" spans="1:1" x14ac:dyDescent="0.25">
      <c r="A913" s="13"/>
    </row>
    <row r="914" spans="1:1" x14ac:dyDescent="0.25">
      <c r="A914" s="13"/>
    </row>
    <row r="915" spans="1:1" x14ac:dyDescent="0.25">
      <c r="A915" s="13"/>
    </row>
    <row r="916" spans="1:1" x14ac:dyDescent="0.25">
      <c r="A916" s="13"/>
    </row>
    <row r="917" spans="1:1" x14ac:dyDescent="0.25">
      <c r="A917" s="13"/>
    </row>
    <row r="918" spans="1:1" x14ac:dyDescent="0.25">
      <c r="A918" s="13"/>
    </row>
    <row r="919" spans="1:1" x14ac:dyDescent="0.25">
      <c r="A919" s="13"/>
    </row>
    <row r="920" spans="1:1" x14ac:dyDescent="0.25">
      <c r="A920" s="13"/>
    </row>
    <row r="921" spans="1:1" x14ac:dyDescent="0.25">
      <c r="A921" s="13"/>
    </row>
    <row r="922" spans="1:1" x14ac:dyDescent="0.25">
      <c r="A922" s="13"/>
    </row>
    <row r="923" spans="1:1" x14ac:dyDescent="0.25">
      <c r="A923" s="13"/>
    </row>
    <row r="924" spans="1:1" x14ac:dyDescent="0.25">
      <c r="A924" s="13"/>
    </row>
    <row r="925" spans="1:1" x14ac:dyDescent="0.25">
      <c r="A925" s="13"/>
    </row>
    <row r="926" spans="1:1" x14ac:dyDescent="0.25">
      <c r="A926" s="13"/>
    </row>
    <row r="927" spans="1:1" x14ac:dyDescent="0.25">
      <c r="A927" s="13"/>
    </row>
    <row r="928" spans="1:1" x14ac:dyDescent="0.25">
      <c r="A928" s="13"/>
    </row>
    <row r="929" spans="1:1" x14ac:dyDescent="0.25">
      <c r="A929" s="13"/>
    </row>
    <row r="930" spans="1:1" x14ac:dyDescent="0.25">
      <c r="A930" s="13"/>
    </row>
    <row r="931" spans="1:1" x14ac:dyDescent="0.25">
      <c r="A931" s="13"/>
    </row>
    <row r="932" spans="1:1" x14ac:dyDescent="0.25">
      <c r="A932" s="13"/>
    </row>
    <row r="933" spans="1:1" x14ac:dyDescent="0.25">
      <c r="A933" s="13"/>
    </row>
    <row r="934" spans="1:1" x14ac:dyDescent="0.25">
      <c r="A934" s="13"/>
    </row>
    <row r="935" spans="1:1" x14ac:dyDescent="0.25">
      <c r="A935" s="13"/>
    </row>
    <row r="936" spans="1:1" x14ac:dyDescent="0.25">
      <c r="A936" s="13"/>
    </row>
    <row r="937" spans="1:1" x14ac:dyDescent="0.25">
      <c r="A937" s="13"/>
    </row>
    <row r="938" spans="1:1" x14ac:dyDescent="0.25">
      <c r="A938" s="13"/>
    </row>
    <row r="939" spans="1:1" x14ac:dyDescent="0.25">
      <c r="A939" s="13"/>
    </row>
    <row r="940" spans="1:1" x14ac:dyDescent="0.25">
      <c r="A940" s="13"/>
    </row>
    <row r="941" spans="1:1" x14ac:dyDescent="0.25">
      <c r="A941" s="13"/>
    </row>
    <row r="942" spans="1:1" x14ac:dyDescent="0.25">
      <c r="A942" s="13"/>
    </row>
    <row r="943" spans="1:1" x14ac:dyDescent="0.25">
      <c r="A943" s="13"/>
    </row>
    <row r="944" spans="1:1" x14ac:dyDescent="0.25">
      <c r="A944" s="13"/>
    </row>
    <row r="945" spans="1:1" x14ac:dyDescent="0.25">
      <c r="A945" s="13"/>
    </row>
    <row r="946" spans="1:1" x14ac:dyDescent="0.25">
      <c r="A946" s="13"/>
    </row>
    <row r="947" spans="1:1" x14ac:dyDescent="0.25">
      <c r="A947" s="13"/>
    </row>
    <row r="948" spans="1:1" x14ac:dyDescent="0.25">
      <c r="A948" s="13"/>
    </row>
    <row r="949" spans="1:1" x14ac:dyDescent="0.25">
      <c r="A949" s="13"/>
    </row>
    <row r="950" spans="1:1" x14ac:dyDescent="0.25">
      <c r="A950" s="13"/>
    </row>
    <row r="951" spans="1:1" x14ac:dyDescent="0.25">
      <c r="A951" s="13"/>
    </row>
    <row r="952" spans="1:1" x14ac:dyDescent="0.25">
      <c r="A952" s="13"/>
    </row>
    <row r="953" spans="1:1" x14ac:dyDescent="0.25">
      <c r="A953" s="13"/>
    </row>
    <row r="954" spans="1:1" x14ac:dyDescent="0.25">
      <c r="A954" s="13"/>
    </row>
    <row r="955" spans="1:1" x14ac:dyDescent="0.25">
      <c r="A955" s="13"/>
    </row>
    <row r="956" spans="1:1" x14ac:dyDescent="0.25">
      <c r="A956" s="13"/>
    </row>
    <row r="957" spans="1:1" x14ac:dyDescent="0.25">
      <c r="A957" s="13"/>
    </row>
    <row r="958" spans="1:1" x14ac:dyDescent="0.25">
      <c r="A958" s="13"/>
    </row>
    <row r="959" spans="1:1" x14ac:dyDescent="0.25">
      <c r="A959" s="13"/>
    </row>
    <row r="960" spans="1:1" x14ac:dyDescent="0.25">
      <c r="A960" s="13"/>
    </row>
    <row r="961" spans="1:1" x14ac:dyDescent="0.25">
      <c r="A961" s="13"/>
    </row>
    <row r="962" spans="1:1" x14ac:dyDescent="0.25">
      <c r="A962" s="13"/>
    </row>
    <row r="963" spans="1:1" x14ac:dyDescent="0.25">
      <c r="A963" s="13"/>
    </row>
    <row r="964" spans="1:1" x14ac:dyDescent="0.25">
      <c r="A964" s="13"/>
    </row>
    <row r="965" spans="1:1" x14ac:dyDescent="0.25">
      <c r="A965" s="13"/>
    </row>
    <row r="966" spans="1:1" x14ac:dyDescent="0.25">
      <c r="A966" s="13"/>
    </row>
    <row r="967" spans="1:1" x14ac:dyDescent="0.25">
      <c r="A967" s="13"/>
    </row>
    <row r="968" spans="1:1" x14ac:dyDescent="0.25">
      <c r="A968" s="13"/>
    </row>
    <row r="969" spans="1:1" x14ac:dyDescent="0.25">
      <c r="A969" s="13"/>
    </row>
    <row r="970" spans="1:1" x14ac:dyDescent="0.25">
      <c r="A970" s="13"/>
    </row>
    <row r="971" spans="1:1" x14ac:dyDescent="0.25">
      <c r="A971" s="13"/>
    </row>
    <row r="972" spans="1:1" x14ac:dyDescent="0.25">
      <c r="A972" s="13"/>
    </row>
    <row r="973" spans="1:1" x14ac:dyDescent="0.25">
      <c r="A973" s="13"/>
    </row>
    <row r="974" spans="1:1" x14ac:dyDescent="0.25">
      <c r="A974" s="13"/>
    </row>
    <row r="975" spans="1:1" x14ac:dyDescent="0.25">
      <c r="A975" s="13"/>
    </row>
    <row r="976" spans="1:1" x14ac:dyDescent="0.25">
      <c r="A976" s="13"/>
    </row>
    <row r="977" spans="1:1" x14ac:dyDescent="0.25">
      <c r="A977" s="13"/>
    </row>
    <row r="978" spans="1:1" x14ac:dyDescent="0.25">
      <c r="A978" s="13"/>
    </row>
    <row r="979" spans="1:1" x14ac:dyDescent="0.25">
      <c r="A979" s="13"/>
    </row>
    <row r="980" spans="1:1" x14ac:dyDescent="0.25">
      <c r="A980" s="13"/>
    </row>
    <row r="981" spans="1:1" x14ac:dyDescent="0.25">
      <c r="A981" s="13"/>
    </row>
    <row r="982" spans="1:1" x14ac:dyDescent="0.25">
      <c r="A982" s="13"/>
    </row>
    <row r="983" spans="1:1" x14ac:dyDescent="0.25">
      <c r="A983" s="13"/>
    </row>
    <row r="984" spans="1:1" x14ac:dyDescent="0.25">
      <c r="A984" s="13"/>
    </row>
    <row r="985" spans="1:1" x14ac:dyDescent="0.25">
      <c r="A985" s="13"/>
    </row>
    <row r="986" spans="1:1" x14ac:dyDescent="0.25">
      <c r="A986" s="13"/>
    </row>
    <row r="987" spans="1:1" x14ac:dyDescent="0.25">
      <c r="A987" s="13"/>
    </row>
    <row r="988" spans="1:1" x14ac:dyDescent="0.25">
      <c r="A988" s="13"/>
    </row>
    <row r="989" spans="1:1" x14ac:dyDescent="0.25">
      <c r="A989" s="13"/>
    </row>
    <row r="990" spans="1:1" x14ac:dyDescent="0.25">
      <c r="A990" s="13"/>
    </row>
    <row r="991" spans="1:1" x14ac:dyDescent="0.25">
      <c r="A991" s="13"/>
    </row>
    <row r="992" spans="1:1" x14ac:dyDescent="0.25">
      <c r="A992" s="13"/>
    </row>
    <row r="993" spans="1:1" x14ac:dyDescent="0.25">
      <c r="A993" s="13"/>
    </row>
    <row r="994" spans="1:1" x14ac:dyDescent="0.25">
      <c r="A994" s="13"/>
    </row>
    <row r="995" spans="1:1" x14ac:dyDescent="0.25">
      <c r="A995" s="13"/>
    </row>
    <row r="996" spans="1:1" x14ac:dyDescent="0.25">
      <c r="A996" s="13"/>
    </row>
    <row r="997" spans="1:1" x14ac:dyDescent="0.25">
      <c r="A997" s="13"/>
    </row>
    <row r="998" spans="1:1" x14ac:dyDescent="0.25">
      <c r="A998" s="13"/>
    </row>
    <row r="999" spans="1:1" x14ac:dyDescent="0.25">
      <c r="A999" s="13"/>
    </row>
    <row r="1000" spans="1:1" x14ac:dyDescent="0.25">
      <c r="A1000" s="13"/>
    </row>
    <row r="1001" spans="1:1" x14ac:dyDescent="0.25">
      <c r="A1001" s="13"/>
    </row>
    <row r="1002" spans="1:1" x14ac:dyDescent="0.25">
      <c r="A1002" s="13"/>
    </row>
    <row r="1003" spans="1:1" x14ac:dyDescent="0.25">
      <c r="A1003" s="13"/>
    </row>
    <row r="1004" spans="1:1" x14ac:dyDescent="0.25">
      <c r="A1004" s="13"/>
    </row>
    <row r="1005" spans="1:1" x14ac:dyDescent="0.25">
      <c r="A1005" s="13"/>
    </row>
    <row r="1006" spans="1:1" x14ac:dyDescent="0.25">
      <c r="A1006" s="13"/>
    </row>
    <row r="1007" spans="1:1" x14ac:dyDescent="0.25">
      <c r="A1007" s="13"/>
    </row>
    <row r="1008" spans="1:1" x14ac:dyDescent="0.25">
      <c r="A1008" s="13"/>
    </row>
    <row r="1009" spans="1:1" x14ac:dyDescent="0.25">
      <c r="A1009" s="13"/>
    </row>
    <row r="1010" spans="1:1" x14ac:dyDescent="0.25">
      <c r="A1010" s="13"/>
    </row>
    <row r="1011" spans="1:1" x14ac:dyDescent="0.25">
      <c r="A1011" s="13"/>
    </row>
    <row r="1012" spans="1:1" x14ac:dyDescent="0.25">
      <c r="A1012" s="13"/>
    </row>
    <row r="1013" spans="1:1" x14ac:dyDescent="0.25">
      <c r="A1013" s="13"/>
    </row>
    <row r="1014" spans="1:1" x14ac:dyDescent="0.25">
      <c r="A1014" s="13"/>
    </row>
    <row r="1015" spans="1:1" x14ac:dyDescent="0.25">
      <c r="A1015" s="13"/>
    </row>
    <row r="1016" spans="1:1" x14ac:dyDescent="0.25">
      <c r="A1016" s="13"/>
    </row>
    <row r="1017" spans="1:1" x14ac:dyDescent="0.25">
      <c r="A1017" s="13"/>
    </row>
    <row r="1018" spans="1:1" x14ac:dyDescent="0.25">
      <c r="A1018" s="13"/>
    </row>
    <row r="1019" spans="1:1" x14ac:dyDescent="0.25">
      <c r="A1019" s="13"/>
    </row>
    <row r="1020" spans="1:1" x14ac:dyDescent="0.25">
      <c r="A1020" s="13"/>
    </row>
    <row r="1021" spans="1:1" x14ac:dyDescent="0.25">
      <c r="A1021" s="13"/>
    </row>
    <row r="1022" spans="1:1" x14ac:dyDescent="0.25">
      <c r="A1022" s="13"/>
    </row>
    <row r="1023" spans="1:1" x14ac:dyDescent="0.25">
      <c r="A1023" s="13"/>
    </row>
    <row r="1024" spans="1:1" x14ac:dyDescent="0.25">
      <c r="A1024" s="13"/>
    </row>
    <row r="1025" spans="1:1" x14ac:dyDescent="0.25">
      <c r="A1025" s="13"/>
    </row>
    <row r="1026" spans="1:1" x14ac:dyDescent="0.25">
      <c r="A1026" s="13"/>
    </row>
    <row r="1027" spans="1:1" x14ac:dyDescent="0.25">
      <c r="A1027" s="13"/>
    </row>
    <row r="1028" spans="1:1" x14ac:dyDescent="0.25">
      <c r="A1028" s="13"/>
    </row>
    <row r="1029" spans="1:1" x14ac:dyDescent="0.25">
      <c r="A1029" s="13"/>
    </row>
    <row r="1030" spans="1:1" x14ac:dyDescent="0.25">
      <c r="A1030" s="13"/>
    </row>
    <row r="1031" spans="1:1" x14ac:dyDescent="0.25">
      <c r="A1031" s="13"/>
    </row>
    <row r="1032" spans="1:1" x14ac:dyDescent="0.25">
      <c r="A1032" s="13"/>
    </row>
    <row r="1033" spans="1:1" x14ac:dyDescent="0.25">
      <c r="A1033" s="13"/>
    </row>
    <row r="1034" spans="1:1" x14ac:dyDescent="0.25">
      <c r="A1034" s="13"/>
    </row>
    <row r="1035" spans="1:1" x14ac:dyDescent="0.25">
      <c r="A1035" s="13"/>
    </row>
    <row r="1036" spans="1:1" x14ac:dyDescent="0.25">
      <c r="A1036" s="13"/>
    </row>
    <row r="1037" spans="1:1" x14ac:dyDescent="0.25">
      <c r="A1037" s="13"/>
    </row>
    <row r="1038" spans="1:1" x14ac:dyDescent="0.25">
      <c r="A1038" s="13"/>
    </row>
    <row r="1039" spans="1:1" x14ac:dyDescent="0.25">
      <c r="A1039" s="13"/>
    </row>
    <row r="1040" spans="1:1" x14ac:dyDescent="0.25">
      <c r="A1040" s="13"/>
    </row>
    <row r="1041" spans="1:1" x14ac:dyDescent="0.25">
      <c r="A1041" s="13"/>
    </row>
    <row r="1042" spans="1:1" x14ac:dyDescent="0.25">
      <c r="A1042" s="13"/>
    </row>
    <row r="1043" spans="1:1" x14ac:dyDescent="0.25">
      <c r="A1043" s="13"/>
    </row>
    <row r="1044" spans="1:1" x14ac:dyDescent="0.25">
      <c r="A1044" s="13"/>
    </row>
    <row r="1045" spans="1:1" x14ac:dyDescent="0.25">
      <c r="A1045" s="13"/>
    </row>
    <row r="1046" spans="1:1" x14ac:dyDescent="0.25">
      <c r="A1046" s="13"/>
    </row>
    <row r="1047" spans="1:1" x14ac:dyDescent="0.25">
      <c r="A1047" s="13"/>
    </row>
    <row r="1048" spans="1:1" x14ac:dyDescent="0.25">
      <c r="A1048" s="13"/>
    </row>
    <row r="1049" spans="1:1" x14ac:dyDescent="0.25">
      <c r="A1049" s="13"/>
    </row>
    <row r="1050" spans="1:1" x14ac:dyDescent="0.25">
      <c r="A1050" s="13"/>
    </row>
    <row r="1051" spans="1:1" x14ac:dyDescent="0.25">
      <c r="A1051" s="13"/>
    </row>
    <row r="1052" spans="1:1" x14ac:dyDescent="0.25">
      <c r="A1052" s="13"/>
    </row>
    <row r="1053" spans="1:1" x14ac:dyDescent="0.25">
      <c r="A1053" s="13"/>
    </row>
    <row r="1054" spans="1:1" x14ac:dyDescent="0.25">
      <c r="A1054" s="13"/>
    </row>
    <row r="1055" spans="1:1" x14ac:dyDescent="0.25">
      <c r="A1055" s="13"/>
    </row>
    <row r="1056" spans="1:1" x14ac:dyDescent="0.25">
      <c r="A1056" s="13"/>
    </row>
    <row r="1057" spans="1:1" x14ac:dyDescent="0.25">
      <c r="A1057" s="13"/>
    </row>
    <row r="1058" spans="1:1" x14ac:dyDescent="0.25">
      <c r="A1058" s="13"/>
    </row>
    <row r="1059" spans="1:1" x14ac:dyDescent="0.25">
      <c r="A1059" s="13"/>
    </row>
    <row r="1060" spans="1:1" x14ac:dyDescent="0.25">
      <c r="A1060" s="13"/>
    </row>
    <row r="1061" spans="1:1" x14ac:dyDescent="0.25">
      <c r="A1061" s="13"/>
    </row>
    <row r="1062" spans="1:1" x14ac:dyDescent="0.25">
      <c r="A1062" s="13"/>
    </row>
    <row r="1063" spans="1:1" x14ac:dyDescent="0.25">
      <c r="A1063" s="13"/>
    </row>
    <row r="1064" spans="1:1" x14ac:dyDescent="0.25">
      <c r="A1064" s="13"/>
    </row>
    <row r="1065" spans="1:1" x14ac:dyDescent="0.25">
      <c r="A1065" s="13"/>
    </row>
    <row r="1066" spans="1:1" x14ac:dyDescent="0.25">
      <c r="A1066" s="13"/>
    </row>
    <row r="1067" spans="1:1" x14ac:dyDescent="0.25">
      <c r="A1067" s="13"/>
    </row>
    <row r="1068" spans="1:1" x14ac:dyDescent="0.25">
      <c r="A1068" s="13"/>
    </row>
    <row r="1069" spans="1:1" x14ac:dyDescent="0.25">
      <c r="A1069" s="13"/>
    </row>
    <row r="1070" spans="1:1" x14ac:dyDescent="0.25">
      <c r="A1070" s="13"/>
    </row>
    <row r="1071" spans="1:1" x14ac:dyDescent="0.25">
      <c r="A1071" s="13"/>
    </row>
    <row r="1072" spans="1:1" x14ac:dyDescent="0.25">
      <c r="A1072" s="13"/>
    </row>
    <row r="1073" spans="1:1" x14ac:dyDescent="0.25">
      <c r="A1073" s="13"/>
    </row>
    <row r="1074" spans="1:1" x14ac:dyDescent="0.25">
      <c r="A1074" s="13"/>
    </row>
    <row r="1075" spans="1:1" x14ac:dyDescent="0.25">
      <c r="A1075" s="13"/>
    </row>
    <row r="1076" spans="1:1" x14ac:dyDescent="0.25">
      <c r="A1076" s="13"/>
    </row>
    <row r="1077" spans="1:1" x14ac:dyDescent="0.25">
      <c r="A1077" s="13"/>
    </row>
    <row r="1078" spans="1:1" x14ac:dyDescent="0.25">
      <c r="A1078" s="13"/>
    </row>
    <row r="1079" spans="1:1" x14ac:dyDescent="0.25">
      <c r="A1079" s="13"/>
    </row>
    <row r="1080" spans="1:1" x14ac:dyDescent="0.25">
      <c r="A1080" s="13"/>
    </row>
    <row r="1081" spans="1:1" x14ac:dyDescent="0.25">
      <c r="A1081" s="13"/>
    </row>
    <row r="1082" spans="1:1" x14ac:dyDescent="0.25">
      <c r="A1082" s="13"/>
    </row>
    <row r="1083" spans="1:1" x14ac:dyDescent="0.25">
      <c r="A1083" s="13"/>
    </row>
    <row r="1084" spans="1:1" x14ac:dyDescent="0.25">
      <c r="A1084" s="13"/>
    </row>
    <row r="1085" spans="1:1" x14ac:dyDescent="0.25">
      <c r="A1085" s="13"/>
    </row>
    <row r="1086" spans="1:1" x14ac:dyDescent="0.25">
      <c r="A1086" s="13"/>
    </row>
    <row r="1087" spans="1:1" x14ac:dyDescent="0.25">
      <c r="A1087" s="13"/>
    </row>
    <row r="1088" spans="1:1" x14ac:dyDescent="0.25">
      <c r="A1088" s="13"/>
    </row>
    <row r="1089" spans="1:1" x14ac:dyDescent="0.25">
      <c r="A1089" s="13"/>
    </row>
    <row r="1090" spans="1:1" x14ac:dyDescent="0.25">
      <c r="A1090" s="13"/>
    </row>
    <row r="1091" spans="1:1" x14ac:dyDescent="0.25">
      <c r="A1091" s="13"/>
    </row>
    <row r="1092" spans="1:1" x14ac:dyDescent="0.25">
      <c r="A1092" s="13"/>
    </row>
    <row r="1093" spans="1:1" x14ac:dyDescent="0.25">
      <c r="A1093" s="13"/>
    </row>
    <row r="1094" spans="1:1" x14ac:dyDescent="0.25">
      <c r="A1094" s="13"/>
    </row>
    <row r="1095" spans="1:1" x14ac:dyDescent="0.25">
      <c r="A1095" s="13"/>
    </row>
    <row r="1096" spans="1:1" x14ac:dyDescent="0.25">
      <c r="A1096" s="13"/>
    </row>
    <row r="1097" spans="1:1" x14ac:dyDescent="0.25">
      <c r="A1097" s="13"/>
    </row>
    <row r="1098" spans="1:1" x14ac:dyDescent="0.25">
      <c r="A1098" s="13"/>
    </row>
    <row r="1099" spans="1:1" x14ac:dyDescent="0.25">
      <c r="A1099" s="13"/>
    </row>
    <row r="1100" spans="1:1" x14ac:dyDescent="0.25">
      <c r="A1100" s="13"/>
    </row>
    <row r="1101" spans="1:1" x14ac:dyDescent="0.25">
      <c r="A1101" s="13"/>
    </row>
    <row r="1102" spans="1:1" x14ac:dyDescent="0.25">
      <c r="A1102" s="13"/>
    </row>
    <row r="1103" spans="1:1" x14ac:dyDescent="0.25">
      <c r="A1103" s="13"/>
    </row>
    <row r="1104" spans="1:1" x14ac:dyDescent="0.25">
      <c r="A1104" s="13"/>
    </row>
    <row r="1105" spans="1:1" x14ac:dyDescent="0.25">
      <c r="A1105" s="13"/>
    </row>
    <row r="1106" spans="1:1" x14ac:dyDescent="0.25">
      <c r="A1106" s="13"/>
    </row>
    <row r="1107" spans="1:1" x14ac:dyDescent="0.25">
      <c r="A1107" s="13"/>
    </row>
    <row r="1108" spans="1:1" x14ac:dyDescent="0.25">
      <c r="A1108" s="13"/>
    </row>
    <row r="1109" spans="1:1" x14ac:dyDescent="0.25">
      <c r="A1109" s="13"/>
    </row>
    <row r="1110" spans="1:1" x14ac:dyDescent="0.25">
      <c r="A1110" s="13"/>
    </row>
    <row r="1111" spans="1:1" x14ac:dyDescent="0.25">
      <c r="A1111" s="13"/>
    </row>
    <row r="1112" spans="1:1" x14ac:dyDescent="0.25">
      <c r="A1112" s="13"/>
    </row>
    <row r="1113" spans="1:1" x14ac:dyDescent="0.25">
      <c r="A1113" s="13"/>
    </row>
    <row r="1114" spans="1:1" x14ac:dyDescent="0.25">
      <c r="A1114" s="13"/>
    </row>
    <row r="1115" spans="1:1" x14ac:dyDescent="0.25">
      <c r="A1115" s="13"/>
    </row>
    <row r="1116" spans="1:1" x14ac:dyDescent="0.25">
      <c r="A1116" s="13"/>
    </row>
    <row r="1117" spans="1:1" x14ac:dyDescent="0.25">
      <c r="A1117" s="13"/>
    </row>
    <row r="1118" spans="1:1" x14ac:dyDescent="0.25">
      <c r="A1118" s="13"/>
    </row>
    <row r="1119" spans="1:1" x14ac:dyDescent="0.25">
      <c r="A1119" s="13"/>
    </row>
    <row r="1120" spans="1:1" x14ac:dyDescent="0.25">
      <c r="A1120" s="13"/>
    </row>
    <row r="1121" spans="1:1" x14ac:dyDescent="0.25">
      <c r="A1121" s="13"/>
    </row>
    <row r="1122" spans="1:1" x14ac:dyDescent="0.25">
      <c r="A1122" s="13"/>
    </row>
    <row r="1123" spans="1:1" x14ac:dyDescent="0.25">
      <c r="A1123" s="13"/>
    </row>
    <row r="1124" spans="1:1" x14ac:dyDescent="0.25">
      <c r="A1124" s="13"/>
    </row>
    <row r="1125" spans="1:1" x14ac:dyDescent="0.25">
      <c r="A1125" s="13"/>
    </row>
    <row r="1126" spans="1:1" x14ac:dyDescent="0.25">
      <c r="A1126" s="13"/>
    </row>
    <row r="1127" spans="1:1" x14ac:dyDescent="0.25">
      <c r="A1127" s="13"/>
    </row>
    <row r="1128" spans="1:1" x14ac:dyDescent="0.25">
      <c r="A1128" s="13"/>
    </row>
    <row r="1129" spans="1:1" x14ac:dyDescent="0.25">
      <c r="A1129" s="13"/>
    </row>
    <row r="1130" spans="1:1" x14ac:dyDescent="0.25">
      <c r="A1130" s="13"/>
    </row>
    <row r="1131" spans="1:1" x14ac:dyDescent="0.25">
      <c r="A1131" s="13"/>
    </row>
    <row r="1132" spans="1:1" x14ac:dyDescent="0.25">
      <c r="A1132" s="13"/>
    </row>
    <row r="1133" spans="1:1" x14ac:dyDescent="0.25">
      <c r="A1133" s="13"/>
    </row>
    <row r="1134" spans="1:1" x14ac:dyDescent="0.25">
      <c r="A1134" s="13"/>
    </row>
    <row r="1135" spans="1:1" x14ac:dyDescent="0.25">
      <c r="A1135" s="13"/>
    </row>
    <row r="1136" spans="1:1" x14ac:dyDescent="0.25">
      <c r="A1136" s="13"/>
    </row>
    <row r="1137" spans="1:1" x14ac:dyDescent="0.25">
      <c r="A1137" s="13"/>
    </row>
    <row r="1138" spans="1:1" x14ac:dyDescent="0.25">
      <c r="A1138" s="13"/>
    </row>
    <row r="1139" spans="1:1" x14ac:dyDescent="0.25">
      <c r="A1139" s="13"/>
    </row>
    <row r="1140" spans="1:1" x14ac:dyDescent="0.25">
      <c r="A1140" s="13"/>
    </row>
    <row r="1141" spans="1:1" x14ac:dyDescent="0.25">
      <c r="A1141" s="13"/>
    </row>
    <row r="1142" spans="1:1" x14ac:dyDescent="0.25">
      <c r="A1142" s="13"/>
    </row>
    <row r="1143" spans="1:1" x14ac:dyDescent="0.25">
      <c r="A1143" s="13"/>
    </row>
    <row r="1144" spans="1:1" x14ac:dyDescent="0.25">
      <c r="A1144" s="13"/>
    </row>
    <row r="1145" spans="1:1" x14ac:dyDescent="0.25">
      <c r="A1145" s="13"/>
    </row>
    <row r="1146" spans="1:1" x14ac:dyDescent="0.25">
      <c r="A1146" s="13"/>
    </row>
    <row r="1147" spans="1:1" x14ac:dyDescent="0.25">
      <c r="A1147" s="13"/>
    </row>
    <row r="1148" spans="1:1" x14ac:dyDescent="0.25">
      <c r="A1148" s="13"/>
    </row>
    <row r="1149" spans="1:1" x14ac:dyDescent="0.25">
      <c r="A1149" s="13"/>
    </row>
    <row r="1150" spans="1:1" x14ac:dyDescent="0.25">
      <c r="A1150" s="13"/>
    </row>
    <row r="1151" spans="1:1" x14ac:dyDescent="0.25">
      <c r="A1151" s="13"/>
    </row>
  </sheetData>
  <conditionalFormatting sqref="A1152:A1048576 A3:A8 A64:A115 A171:A177 A198:A208 A211:A214 A43:A61 A10:A17 A179:A196 A216:A229 A19:A41">
    <cfRule type="duplicateValues" dxfId="32" priority="22"/>
  </conditionalFormatting>
  <conditionalFormatting sqref="A197">
    <cfRule type="duplicateValues" dxfId="31" priority="23"/>
  </conditionalFormatting>
  <conditionalFormatting sqref="A144:A155 A170">
    <cfRule type="duplicateValues" dxfId="30" priority="24"/>
  </conditionalFormatting>
  <conditionalFormatting sqref="A116:A123 A125:A128">
    <cfRule type="duplicateValues" dxfId="29" priority="25"/>
  </conditionalFormatting>
  <conditionalFormatting sqref="A116:A123 A125:A128">
    <cfRule type="duplicateValues" dxfId="28" priority="26"/>
    <cfRule type="duplicateValues" dxfId="27" priority="27"/>
  </conditionalFormatting>
  <conditionalFormatting sqref="A156:A161 A166:A169">
    <cfRule type="duplicateValues" dxfId="26" priority="31"/>
  </conditionalFormatting>
  <conditionalFormatting sqref="A18">
    <cfRule type="duplicateValues" dxfId="25" priority="32"/>
  </conditionalFormatting>
  <conditionalFormatting sqref="A486:A487 A489 A491:A1048576 D449 A449 A328:A330 A3:A8 A210:A214 A43:A115 A171:A208 A216:A282 A162:A165 E124 A10:A41 A286:A320">
    <cfRule type="duplicateValues" dxfId="24" priority="33"/>
    <cfRule type="duplicateValues" dxfId="23" priority="34"/>
  </conditionalFormatting>
  <conditionalFormatting sqref="A486:A487 A489 A491:A1048576 D449 A449 A328:A330 A3:A8 A43:A115 A129:A143 A171:A282 A162:A165 E124 A10:A41 A286:A320">
    <cfRule type="duplicateValues" dxfId="22" priority="35"/>
  </conditionalFormatting>
  <conditionalFormatting sqref="A486:A487 A286 A489 A491:A1048576 D449 A449">
    <cfRule type="duplicateValues" dxfId="21" priority="37"/>
  </conditionalFormatting>
  <conditionalFormatting sqref="A333:A397 A450:A453 A402:A420 A422:A448 A399">
    <cfRule type="duplicateValues" dxfId="20" priority="97"/>
    <cfRule type="duplicateValues" dxfId="19" priority="98"/>
  </conditionalFormatting>
  <conditionalFormatting sqref="A333:A397 A450:A453 A402:A420 A422:A448 A399">
    <cfRule type="duplicateValues" dxfId="18" priority="101"/>
  </conditionalFormatting>
  <conditionalFormatting sqref="A454:A461 A463:A485">
    <cfRule type="duplicateValues" dxfId="17" priority="2"/>
    <cfRule type="duplicateValues" dxfId="16" priority="3"/>
  </conditionalFormatting>
  <conditionalFormatting sqref="A454:A461 A463:A485">
    <cfRule type="duplicateValues" dxfId="15" priority="4"/>
  </conditionalFormatting>
  <conditionalFormatting sqref="A489:A1048576 A1:A331 A333:A397 A402:A461 A463:A487 A399">
    <cfRule type="duplicateValues" dxfId="14" priority="1"/>
  </conditionalFormatting>
  <conditionalFormatting sqref="A486:A487 A489 A491:A1048576 D449 A449 A327:A331 A421 A162:A165 E124 A125:A155 A3:A123 A170:A324">
    <cfRule type="duplicateValues" dxfId="13" priority="160"/>
  </conditionalFormatting>
  <conditionalFormatting sqref="A486:A487 A489 A491:A1048576 D449 A449 A327:A331 A421 A3:A324">
    <cfRule type="duplicateValues" dxfId="12" priority="178"/>
    <cfRule type="duplicateValues" dxfId="11" priority="179"/>
  </conditionalFormatting>
  <hyperlinks>
    <hyperlink ref="A1" location="contents!A1" display="Contents" xr:uid="{00000000-0004-0000-0400-000000000000}"/>
  </hyperlinks>
  <pageMargins left="0.7" right="0.7" top="0.75" bottom="0.75"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7"/>
  <sheetViews>
    <sheetView zoomScaleNormal="100" workbookViewId="0">
      <selection activeCell="M49" sqref="M49"/>
    </sheetView>
  </sheetViews>
  <sheetFormatPr defaultColWidth="8.7109375" defaultRowHeight="15" x14ac:dyDescent="0.25"/>
  <cols>
    <col min="1" max="1" width="41" customWidth="1"/>
    <col min="2" max="3" width="19.85546875" customWidth="1"/>
    <col min="4" max="4" width="24.85546875" customWidth="1"/>
    <col min="5" max="5" width="25.5703125" customWidth="1"/>
    <col min="6" max="6" width="32" customWidth="1"/>
  </cols>
  <sheetData>
    <row r="1" spans="1:6" x14ac:dyDescent="0.25">
      <c r="A1" s="2" t="s">
        <v>0</v>
      </c>
    </row>
    <row r="2" spans="1:6" x14ac:dyDescent="0.25">
      <c r="A2" s="1" t="s">
        <v>5</v>
      </c>
    </row>
    <row r="3" spans="1:6" x14ac:dyDescent="0.25">
      <c r="A3" s="8" t="s">
        <v>342</v>
      </c>
      <c r="B3" s="8" t="s">
        <v>343</v>
      </c>
      <c r="C3" s="8" t="s">
        <v>344</v>
      </c>
      <c r="D3" s="8" t="s">
        <v>345</v>
      </c>
      <c r="E3" s="8" t="s">
        <v>346</v>
      </c>
      <c r="F3" s="8" t="s">
        <v>4508</v>
      </c>
    </row>
    <row r="4" spans="1:6" x14ac:dyDescent="0.25">
      <c r="A4" t="s">
        <v>347</v>
      </c>
      <c r="B4" s="9">
        <v>4</v>
      </c>
      <c r="C4" t="s">
        <v>348</v>
      </c>
      <c r="D4" t="s">
        <v>349</v>
      </c>
      <c r="E4" t="s">
        <v>140</v>
      </c>
      <c r="F4" t="s">
        <v>350</v>
      </c>
    </row>
    <row r="5" spans="1:6" x14ac:dyDescent="0.25">
      <c r="A5" t="s">
        <v>351</v>
      </c>
      <c r="B5">
        <v>8</v>
      </c>
      <c r="C5" t="s">
        <v>348</v>
      </c>
      <c r="D5" t="s">
        <v>349</v>
      </c>
      <c r="E5" t="s">
        <v>140</v>
      </c>
      <c r="F5" t="s">
        <v>350</v>
      </c>
    </row>
    <row r="6" spans="1:6" x14ac:dyDescent="0.25">
      <c r="A6" t="s">
        <v>352</v>
      </c>
      <c r="B6">
        <v>8</v>
      </c>
      <c r="C6" t="s">
        <v>348</v>
      </c>
      <c r="D6" t="s">
        <v>349</v>
      </c>
      <c r="E6" t="s">
        <v>353</v>
      </c>
      <c r="F6" t="s">
        <v>350</v>
      </c>
    </row>
    <row r="7" spans="1:6" x14ac:dyDescent="0.25">
      <c r="A7" t="s">
        <v>354</v>
      </c>
      <c r="B7">
        <v>8</v>
      </c>
      <c r="C7" t="s">
        <v>355</v>
      </c>
      <c r="D7" t="s">
        <v>356</v>
      </c>
      <c r="E7" t="s">
        <v>353</v>
      </c>
      <c r="F7" t="s">
        <v>350</v>
      </c>
    </row>
    <row r="8" spans="1:6" x14ac:dyDescent="0.25">
      <c r="A8" t="s">
        <v>357</v>
      </c>
      <c r="B8">
        <v>8</v>
      </c>
      <c r="C8" t="s">
        <v>355</v>
      </c>
      <c r="D8" s="9" t="s">
        <v>358</v>
      </c>
      <c r="E8" t="s">
        <v>353</v>
      </c>
      <c r="F8" t="s">
        <v>350</v>
      </c>
    </row>
    <row r="9" spans="1:6" x14ac:dyDescent="0.25">
      <c r="A9" t="s">
        <v>359</v>
      </c>
      <c r="B9">
        <v>16</v>
      </c>
      <c r="C9" t="s">
        <v>348</v>
      </c>
      <c r="D9" t="s">
        <v>349</v>
      </c>
      <c r="E9" t="s">
        <v>360</v>
      </c>
      <c r="F9" t="s">
        <v>350</v>
      </c>
    </row>
    <row r="10" spans="1:6" x14ac:dyDescent="0.25">
      <c r="A10" t="s">
        <v>361</v>
      </c>
      <c r="B10" s="9">
        <v>8</v>
      </c>
      <c r="C10" t="s">
        <v>348</v>
      </c>
      <c r="D10" t="s">
        <v>349</v>
      </c>
      <c r="E10" t="s">
        <v>353</v>
      </c>
      <c r="F10" t="s">
        <v>350</v>
      </c>
    </row>
    <row r="11" spans="1:6" x14ac:dyDescent="0.25">
      <c r="A11" t="s">
        <v>362</v>
      </c>
      <c r="B11" s="9">
        <v>8</v>
      </c>
      <c r="C11" t="s">
        <v>348</v>
      </c>
      <c r="D11" t="s">
        <v>349</v>
      </c>
      <c r="E11" t="s">
        <v>363</v>
      </c>
      <c r="F11" t="s">
        <v>350</v>
      </c>
    </row>
    <row r="12" spans="1:6" x14ac:dyDescent="0.25">
      <c r="A12" t="s">
        <v>364</v>
      </c>
      <c r="B12" s="9">
        <v>4</v>
      </c>
      <c r="C12" t="s">
        <v>348</v>
      </c>
      <c r="D12" t="s">
        <v>349</v>
      </c>
      <c r="E12" t="s">
        <v>365</v>
      </c>
      <c r="F12" t="s">
        <v>350</v>
      </c>
    </row>
    <row r="13" spans="1:6" x14ac:dyDescent="0.25">
      <c r="A13" t="s">
        <v>366</v>
      </c>
      <c r="B13" s="9">
        <v>4</v>
      </c>
      <c r="C13" t="s">
        <v>348</v>
      </c>
      <c r="D13" t="s">
        <v>349</v>
      </c>
      <c r="E13" t="s">
        <v>365</v>
      </c>
      <c r="F13" t="s">
        <v>350</v>
      </c>
    </row>
    <row r="14" spans="1:6" x14ac:dyDescent="0.25">
      <c r="A14" t="s">
        <v>367</v>
      </c>
      <c r="B14" s="9">
        <v>8</v>
      </c>
      <c r="C14" t="s">
        <v>348</v>
      </c>
      <c r="D14" t="s">
        <v>349</v>
      </c>
      <c r="E14" t="s">
        <v>140</v>
      </c>
      <c r="F14" t="s">
        <v>350</v>
      </c>
    </row>
    <row r="15" spans="1:6" x14ac:dyDescent="0.25">
      <c r="A15" t="s">
        <v>368</v>
      </c>
      <c r="B15">
        <v>4</v>
      </c>
      <c r="C15" t="s">
        <v>348</v>
      </c>
      <c r="D15" t="s">
        <v>349</v>
      </c>
      <c r="E15" t="s">
        <v>365</v>
      </c>
      <c r="F15" t="s">
        <v>350</v>
      </c>
    </row>
    <row r="16" spans="1:6" x14ac:dyDescent="0.25">
      <c r="A16" t="s">
        <v>369</v>
      </c>
      <c r="B16">
        <v>16</v>
      </c>
      <c r="C16" t="s">
        <v>355</v>
      </c>
      <c r="D16" t="s">
        <v>356</v>
      </c>
      <c r="E16" t="s">
        <v>370</v>
      </c>
      <c r="F16" t="s">
        <v>350</v>
      </c>
    </row>
    <row r="17" spans="1:6" x14ac:dyDescent="0.25">
      <c r="A17" t="s">
        <v>371</v>
      </c>
      <c r="B17">
        <v>16</v>
      </c>
      <c r="C17" t="s">
        <v>348</v>
      </c>
      <c r="D17" t="s">
        <v>349</v>
      </c>
      <c r="E17" t="s">
        <v>370</v>
      </c>
      <c r="F17" t="s">
        <v>350</v>
      </c>
    </row>
    <row r="18" spans="1:6" x14ac:dyDescent="0.25">
      <c r="A18" t="s">
        <v>372</v>
      </c>
      <c r="B18">
        <v>32</v>
      </c>
      <c r="C18" t="s">
        <v>348</v>
      </c>
      <c r="D18" t="s">
        <v>349</v>
      </c>
      <c r="E18" t="s">
        <v>245</v>
      </c>
      <c r="F18" t="s">
        <v>350</v>
      </c>
    </row>
    <row r="19" spans="1:6" x14ac:dyDescent="0.25">
      <c r="A19" t="s">
        <v>373</v>
      </c>
      <c r="B19">
        <v>32</v>
      </c>
      <c r="C19" t="s">
        <v>348</v>
      </c>
      <c r="D19" t="s">
        <v>349</v>
      </c>
      <c r="E19" t="s">
        <v>245</v>
      </c>
      <c r="F19" t="s">
        <v>350</v>
      </c>
    </row>
    <row r="20" spans="1:6" x14ac:dyDescent="0.25">
      <c r="A20" t="s">
        <v>374</v>
      </c>
      <c r="B20">
        <v>32</v>
      </c>
      <c r="C20" t="s">
        <v>355</v>
      </c>
      <c r="D20" t="s">
        <v>356</v>
      </c>
      <c r="E20" t="s">
        <v>245</v>
      </c>
      <c r="F20" t="s">
        <v>350</v>
      </c>
    </row>
    <row r="21" spans="1:6" x14ac:dyDescent="0.25">
      <c r="A21" t="s">
        <v>375</v>
      </c>
      <c r="B21">
        <v>16</v>
      </c>
      <c r="C21" t="s">
        <v>355</v>
      </c>
      <c r="D21" s="9" t="s">
        <v>358</v>
      </c>
      <c r="E21" t="s">
        <v>190</v>
      </c>
      <c r="F21" t="s">
        <v>350</v>
      </c>
    </row>
    <row r="22" spans="1:6" x14ac:dyDescent="0.25">
      <c r="A22" t="s">
        <v>376</v>
      </c>
      <c r="B22">
        <v>4</v>
      </c>
      <c r="C22" t="s">
        <v>348</v>
      </c>
      <c r="D22" t="s">
        <v>349</v>
      </c>
      <c r="E22" t="s">
        <v>365</v>
      </c>
      <c r="F22" t="s">
        <v>350</v>
      </c>
    </row>
    <row r="23" spans="1:6" x14ac:dyDescent="0.25">
      <c r="A23" t="s">
        <v>377</v>
      </c>
      <c r="B23">
        <v>4</v>
      </c>
      <c r="C23" t="s">
        <v>355</v>
      </c>
      <c r="D23" t="s">
        <v>356</v>
      </c>
      <c r="E23" t="s">
        <v>363</v>
      </c>
      <c r="F23" t="s">
        <v>350</v>
      </c>
    </row>
    <row r="24" spans="1:6" x14ac:dyDescent="0.25">
      <c r="A24" t="s">
        <v>378</v>
      </c>
      <c r="B24">
        <v>4</v>
      </c>
      <c r="C24" t="s">
        <v>355</v>
      </c>
      <c r="D24" t="s">
        <v>356</v>
      </c>
      <c r="E24" t="s">
        <v>363</v>
      </c>
      <c r="F24" t="s">
        <v>350</v>
      </c>
    </row>
    <row r="25" spans="1:6" x14ac:dyDescent="0.25">
      <c r="A25" t="s">
        <v>379</v>
      </c>
      <c r="B25">
        <v>4</v>
      </c>
      <c r="C25" t="s">
        <v>355</v>
      </c>
      <c r="D25" t="s">
        <v>380</v>
      </c>
      <c r="E25" t="s">
        <v>363</v>
      </c>
      <c r="F25" t="s">
        <v>350</v>
      </c>
    </row>
    <row r="26" spans="1:6" x14ac:dyDescent="0.25">
      <c r="A26" t="s">
        <v>381</v>
      </c>
      <c r="B26">
        <v>4</v>
      </c>
      <c r="C26" t="s">
        <v>355</v>
      </c>
      <c r="D26" t="s">
        <v>356</v>
      </c>
      <c r="E26" t="s">
        <v>363</v>
      </c>
      <c r="F26" t="s">
        <v>350</v>
      </c>
    </row>
    <row r="27" spans="1:6" x14ac:dyDescent="0.25">
      <c r="A27" t="s">
        <v>382</v>
      </c>
      <c r="B27">
        <v>8</v>
      </c>
      <c r="C27" t="s">
        <v>355</v>
      </c>
      <c r="D27" s="9" t="s">
        <v>383</v>
      </c>
      <c r="E27" t="s">
        <v>363</v>
      </c>
      <c r="F27" t="s">
        <v>350</v>
      </c>
    </row>
    <row r="28" spans="1:6" x14ac:dyDescent="0.25">
      <c r="A28" t="s">
        <v>384</v>
      </c>
      <c r="B28">
        <v>8</v>
      </c>
      <c r="C28" t="s">
        <v>355</v>
      </c>
      <c r="D28" s="9" t="s">
        <v>383</v>
      </c>
      <c r="E28" t="s">
        <v>363</v>
      </c>
      <c r="F28" t="s">
        <v>350</v>
      </c>
    </row>
    <row r="29" spans="1:6" x14ac:dyDescent="0.25">
      <c r="A29" t="s">
        <v>385</v>
      </c>
      <c r="B29">
        <v>8</v>
      </c>
      <c r="C29" t="s">
        <v>355</v>
      </c>
      <c r="D29" s="9" t="s">
        <v>383</v>
      </c>
      <c r="E29" t="s">
        <v>363</v>
      </c>
      <c r="F29" t="s">
        <v>350</v>
      </c>
    </row>
    <row r="30" spans="1:6" x14ac:dyDescent="0.25">
      <c r="A30" t="s">
        <v>386</v>
      </c>
      <c r="B30">
        <v>8</v>
      </c>
      <c r="C30" t="s">
        <v>355</v>
      </c>
      <c r="D30" s="9" t="s">
        <v>383</v>
      </c>
      <c r="E30" t="s">
        <v>363</v>
      </c>
      <c r="F30" t="s">
        <v>350</v>
      </c>
    </row>
    <row r="31" spans="1:6" x14ac:dyDescent="0.25">
      <c r="A31" t="s">
        <v>387</v>
      </c>
      <c r="B31">
        <v>32</v>
      </c>
      <c r="C31" t="s">
        <v>348</v>
      </c>
      <c r="D31" t="s">
        <v>349</v>
      </c>
      <c r="E31" t="s">
        <v>363</v>
      </c>
      <c r="F31" t="s">
        <v>350</v>
      </c>
    </row>
    <row r="32" spans="1:6" x14ac:dyDescent="0.25">
      <c r="A32" t="s">
        <v>388</v>
      </c>
      <c r="B32">
        <v>32</v>
      </c>
      <c r="C32" t="s">
        <v>348</v>
      </c>
      <c r="D32" t="s">
        <v>349</v>
      </c>
      <c r="E32" t="s">
        <v>245</v>
      </c>
      <c r="F32" t="s">
        <v>389</v>
      </c>
    </row>
    <row r="33" spans="1:6" x14ac:dyDescent="0.25">
      <c r="A33" t="s">
        <v>390</v>
      </c>
      <c r="B33">
        <v>32</v>
      </c>
      <c r="C33" t="s">
        <v>355</v>
      </c>
      <c r="D33" t="s">
        <v>391</v>
      </c>
      <c r="E33" t="s">
        <v>392</v>
      </c>
      <c r="F33" t="s">
        <v>389</v>
      </c>
    </row>
    <row r="34" spans="1:6" x14ac:dyDescent="0.25">
      <c r="A34" t="s">
        <v>393</v>
      </c>
      <c r="B34">
        <v>16</v>
      </c>
      <c r="C34" t="s">
        <v>355</v>
      </c>
      <c r="D34" t="s">
        <v>356</v>
      </c>
      <c r="E34" t="s">
        <v>370</v>
      </c>
      <c r="F34" t="s">
        <v>350</v>
      </c>
    </row>
    <row r="35" spans="1:6" x14ac:dyDescent="0.25">
      <c r="A35" t="s">
        <v>394</v>
      </c>
      <c r="B35">
        <v>8</v>
      </c>
      <c r="C35" t="s">
        <v>355</v>
      </c>
      <c r="D35" t="s">
        <v>356</v>
      </c>
      <c r="E35" t="s">
        <v>140</v>
      </c>
      <c r="F35" t="s">
        <v>350</v>
      </c>
    </row>
    <row r="36" spans="1:6" x14ac:dyDescent="0.25">
      <c r="A36" t="s">
        <v>395</v>
      </c>
      <c r="B36">
        <v>8</v>
      </c>
      <c r="C36" t="s">
        <v>355</v>
      </c>
      <c r="D36" t="s">
        <v>356</v>
      </c>
      <c r="E36" t="s">
        <v>190</v>
      </c>
      <c r="F36" t="s">
        <v>350</v>
      </c>
    </row>
    <row r="37" spans="1:6" x14ac:dyDescent="0.25">
      <c r="A37" t="s">
        <v>396</v>
      </c>
      <c r="B37">
        <v>16</v>
      </c>
      <c r="C37" t="s">
        <v>348</v>
      </c>
      <c r="D37" t="s">
        <v>349</v>
      </c>
      <c r="E37" t="s">
        <v>370</v>
      </c>
      <c r="F37" t="s">
        <v>389</v>
      </c>
    </row>
    <row r="38" spans="1:6" x14ac:dyDescent="0.25">
      <c r="A38" t="s">
        <v>397</v>
      </c>
      <c r="B38">
        <v>16</v>
      </c>
      <c r="C38" t="s">
        <v>348</v>
      </c>
      <c r="D38" t="s">
        <v>349</v>
      </c>
      <c r="E38" t="s">
        <v>370</v>
      </c>
      <c r="F38" t="s">
        <v>389</v>
      </c>
    </row>
    <row r="39" spans="1:6" x14ac:dyDescent="0.25">
      <c r="A39" t="s">
        <v>398</v>
      </c>
      <c r="B39">
        <v>16</v>
      </c>
      <c r="C39" t="s">
        <v>348</v>
      </c>
      <c r="D39" t="s">
        <v>349</v>
      </c>
      <c r="E39" t="s">
        <v>370</v>
      </c>
      <c r="F39" t="s">
        <v>389</v>
      </c>
    </row>
    <row r="40" spans="1:6" x14ac:dyDescent="0.25">
      <c r="A40" t="s">
        <v>399</v>
      </c>
      <c r="B40">
        <v>16</v>
      </c>
      <c r="C40" t="s">
        <v>355</v>
      </c>
      <c r="D40" t="s">
        <v>391</v>
      </c>
      <c r="E40" t="s">
        <v>370</v>
      </c>
      <c r="F40" t="s">
        <v>389</v>
      </c>
    </row>
    <row r="41" spans="1:6" x14ac:dyDescent="0.25">
      <c r="A41" t="s">
        <v>400</v>
      </c>
      <c r="B41">
        <v>16</v>
      </c>
      <c r="C41" t="s">
        <v>348</v>
      </c>
      <c r="D41" t="s">
        <v>349</v>
      </c>
      <c r="E41" t="s">
        <v>363</v>
      </c>
      <c r="F41" t="s">
        <v>389</v>
      </c>
    </row>
    <row r="42" spans="1:6" x14ac:dyDescent="0.25">
      <c r="A42" t="s">
        <v>4440</v>
      </c>
      <c r="B42">
        <v>16</v>
      </c>
      <c r="C42" t="s">
        <v>348</v>
      </c>
      <c r="D42" t="s">
        <v>349</v>
      </c>
      <c r="E42" t="s">
        <v>392</v>
      </c>
      <c r="F42" t="s">
        <v>350</v>
      </c>
    </row>
    <row r="43" spans="1:6" x14ac:dyDescent="0.25">
      <c r="A43" t="s">
        <v>401</v>
      </c>
      <c r="B43">
        <v>4</v>
      </c>
      <c r="C43" t="s">
        <v>348</v>
      </c>
      <c r="D43" t="s">
        <v>349</v>
      </c>
      <c r="E43" t="s">
        <v>100</v>
      </c>
      <c r="F43" t="s">
        <v>350</v>
      </c>
    </row>
    <row r="44" spans="1:6" x14ac:dyDescent="0.25">
      <c r="A44" t="s">
        <v>402</v>
      </c>
      <c r="B44">
        <v>4</v>
      </c>
      <c r="C44" t="s">
        <v>355</v>
      </c>
      <c r="D44" t="s">
        <v>403</v>
      </c>
      <c r="E44" t="s">
        <v>363</v>
      </c>
      <c r="F44" t="s">
        <v>350</v>
      </c>
    </row>
    <row r="45" spans="1:6" x14ac:dyDescent="0.25">
      <c r="A45" t="s">
        <v>404</v>
      </c>
      <c r="B45">
        <v>32</v>
      </c>
      <c r="C45" t="s">
        <v>348</v>
      </c>
      <c r="D45" t="s">
        <v>349</v>
      </c>
      <c r="E45" t="s">
        <v>392</v>
      </c>
      <c r="F45" t="s">
        <v>350</v>
      </c>
    </row>
    <row r="46" spans="1:6" x14ac:dyDescent="0.25">
      <c r="A46" t="s">
        <v>5009</v>
      </c>
      <c r="B46">
        <v>8</v>
      </c>
      <c r="C46" t="s">
        <v>355</v>
      </c>
      <c r="D46" t="s">
        <v>383</v>
      </c>
      <c r="E46" t="s">
        <v>370</v>
      </c>
      <c r="F46" t="s">
        <v>350</v>
      </c>
    </row>
    <row r="47" spans="1:6" x14ac:dyDescent="0.25">
      <c r="A47" t="s">
        <v>5010</v>
      </c>
      <c r="B47">
        <v>16</v>
      </c>
      <c r="C47" t="s">
        <v>355</v>
      </c>
      <c r="D47" t="s">
        <v>383</v>
      </c>
      <c r="E47" t="s">
        <v>5011</v>
      </c>
      <c r="F47" t="s">
        <v>350</v>
      </c>
    </row>
  </sheetData>
  <hyperlinks>
    <hyperlink ref="A1" location="contents!A1" display="Contents" xr:uid="{00000000-0004-0000-0300-000000000000}"/>
  </hyperlink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1378C-1EE2-4DA1-979B-BC70B6F4713B}">
  <dimension ref="A1:L18"/>
  <sheetViews>
    <sheetView workbookViewId="0"/>
  </sheetViews>
  <sheetFormatPr defaultRowHeight="15" x14ac:dyDescent="0.25"/>
  <cols>
    <col min="1" max="1" width="56.140625" customWidth="1"/>
    <col min="2" max="4" width="21.42578125" customWidth="1"/>
    <col min="5" max="5" width="27.85546875" customWidth="1"/>
    <col min="6" max="6" width="21.42578125" customWidth="1"/>
    <col min="7" max="7" width="96.7109375" customWidth="1"/>
    <col min="8" max="8" width="75" customWidth="1"/>
    <col min="9" max="9" width="84.7109375" customWidth="1"/>
    <col min="10" max="11" width="21.42578125" customWidth="1"/>
  </cols>
  <sheetData>
    <row r="1" spans="1:12" x14ac:dyDescent="0.25">
      <c r="A1" s="2" t="s">
        <v>0</v>
      </c>
      <c r="B1" s="2" t="s">
        <v>0</v>
      </c>
      <c r="C1" s="2" t="s">
        <v>0</v>
      </c>
      <c r="D1" s="2" t="s">
        <v>0</v>
      </c>
      <c r="E1" s="2" t="s">
        <v>0</v>
      </c>
      <c r="F1" s="2" t="s">
        <v>0</v>
      </c>
      <c r="G1" s="2" t="s">
        <v>0</v>
      </c>
      <c r="H1" s="2" t="s">
        <v>0</v>
      </c>
      <c r="I1" s="2" t="s">
        <v>0</v>
      </c>
      <c r="J1" s="2" t="s">
        <v>0</v>
      </c>
      <c r="K1" s="2" t="s">
        <v>0</v>
      </c>
    </row>
    <row r="2" spans="1:12" x14ac:dyDescent="0.25">
      <c r="A2" s="12" t="s">
        <v>4409</v>
      </c>
    </row>
    <row r="3" spans="1:12" x14ac:dyDescent="0.25">
      <c r="A3" s="1" t="s">
        <v>1295</v>
      </c>
      <c r="B3" s="1" t="s">
        <v>1297</v>
      </c>
      <c r="C3" s="1" t="s">
        <v>1298</v>
      </c>
      <c r="D3" s="1" t="s">
        <v>885</v>
      </c>
      <c r="E3" s="1" t="s">
        <v>886</v>
      </c>
      <c r="F3" s="1" t="s">
        <v>887</v>
      </c>
      <c r="G3" s="1" t="s">
        <v>888</v>
      </c>
      <c r="H3" s="1" t="s">
        <v>889</v>
      </c>
      <c r="I3" s="1" t="s">
        <v>1299</v>
      </c>
      <c r="J3" s="1" t="s">
        <v>1277</v>
      </c>
      <c r="K3" s="1" t="s">
        <v>1278</v>
      </c>
    </row>
    <row r="5" spans="1:12" x14ac:dyDescent="0.25">
      <c r="D5">
        <v>0</v>
      </c>
      <c r="E5" t="s">
        <v>4417</v>
      </c>
      <c r="G5" t="s">
        <v>4410</v>
      </c>
      <c r="H5" t="s">
        <v>4413</v>
      </c>
    </row>
    <row r="6" spans="1:12" x14ac:dyDescent="0.25">
      <c r="H6" t="s">
        <v>4414</v>
      </c>
    </row>
    <row r="7" spans="1:12" x14ac:dyDescent="0.25">
      <c r="H7" t="s">
        <v>4415</v>
      </c>
    </row>
    <row r="8" spans="1:12" x14ac:dyDescent="0.25">
      <c r="H8" t="s">
        <v>4416</v>
      </c>
    </row>
    <row r="9" spans="1:12" x14ac:dyDescent="0.25">
      <c r="H9" t="s">
        <v>4412</v>
      </c>
    </row>
    <row r="11" spans="1:12" x14ac:dyDescent="0.25">
      <c r="D11">
        <v>1</v>
      </c>
      <c r="E11" t="s">
        <v>4418</v>
      </c>
      <c r="G11" t="s">
        <v>4426</v>
      </c>
      <c r="H11" t="s">
        <v>4413</v>
      </c>
      <c r="I11" t="s">
        <v>4430</v>
      </c>
      <c r="L11" t="s">
        <v>4411</v>
      </c>
    </row>
    <row r="12" spans="1:12" x14ac:dyDescent="0.25">
      <c r="H12" t="s">
        <v>4412</v>
      </c>
    </row>
    <row r="14" spans="1:12" x14ac:dyDescent="0.25">
      <c r="D14">
        <v>2</v>
      </c>
      <c r="E14" t="s">
        <v>4419</v>
      </c>
      <c r="G14" t="s">
        <v>4420</v>
      </c>
      <c r="H14" t="s">
        <v>4415</v>
      </c>
      <c r="I14" t="s">
        <v>4431</v>
      </c>
    </row>
    <row r="16" spans="1:12" x14ac:dyDescent="0.25">
      <c r="D16">
        <v>3</v>
      </c>
      <c r="E16" t="s">
        <v>4421</v>
      </c>
      <c r="G16" t="s">
        <v>4422</v>
      </c>
      <c r="H16" t="s">
        <v>4423</v>
      </c>
      <c r="I16" t="s">
        <v>4424</v>
      </c>
    </row>
    <row r="18" spans="4:9" x14ac:dyDescent="0.25">
      <c r="D18">
        <v>4</v>
      </c>
      <c r="E18" t="s">
        <v>4427</v>
      </c>
      <c r="G18" t="s">
        <v>4428</v>
      </c>
      <c r="H18" t="s">
        <v>4423</v>
      </c>
      <c r="I18" t="s">
        <v>4429</v>
      </c>
    </row>
  </sheetData>
  <conditionalFormatting sqref="E2:E3">
    <cfRule type="duplicateValues" dxfId="10" priority="1"/>
  </conditionalFormatting>
  <hyperlinks>
    <hyperlink ref="A1" location="contents!A1" display="Contents" xr:uid="{8EA37169-2323-40C3-9046-4C9A4C68151F}"/>
    <hyperlink ref="B1" location="contents!A1" display="Contents" xr:uid="{DAB97BFE-55C2-42A8-9774-81D09B11729F}"/>
    <hyperlink ref="C1" location="contents!A1" display="Contents" xr:uid="{9EFE449F-C470-44D0-A441-4CED116089D8}"/>
    <hyperlink ref="D1" location="contents!A1" display="Contents" xr:uid="{BBDE822B-EE5D-42CF-9FAD-25EB5E98BC73}"/>
    <hyperlink ref="E1" location="contents!A1" display="Contents" xr:uid="{FD6C95D8-897E-40FC-9AA3-81D25D7507A6}"/>
    <hyperlink ref="F1" location="contents!A1" display="Contents" xr:uid="{A906E671-9941-4500-9327-E38E4892279A}"/>
    <hyperlink ref="G1" location="contents!A1" display="Contents" xr:uid="{2539780C-B8F8-4029-80E0-A48DA4DBF037}"/>
    <hyperlink ref="H1" location="contents!A1" display="Contents" xr:uid="{EB84978E-1B66-4CAB-9927-B7A53E1B5E69}"/>
    <hyperlink ref="J1" location="contents!A1" display="Contents" xr:uid="{42B99F6A-7C65-4996-91A1-5958FA97ED9D}"/>
    <hyperlink ref="K1" location="contents!A1" display="Contents" xr:uid="{FACD38D9-FE3A-4330-9DC9-ABE2F0E607F2}"/>
    <hyperlink ref="I1" location="contents!A1" display="Contents" xr:uid="{81DB7B48-795B-4F36-A3CF-36642221E5B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55"/>
  <sheetViews>
    <sheetView topLeftCell="B85" zoomScaleNormal="100" workbookViewId="0">
      <selection activeCell="E103" sqref="E103"/>
    </sheetView>
  </sheetViews>
  <sheetFormatPr defaultColWidth="9.140625" defaultRowHeight="15" x14ac:dyDescent="0.25"/>
  <cols>
    <col min="1" max="1" width="44.140625" customWidth="1"/>
    <col min="2" max="2" width="17" customWidth="1"/>
    <col min="3" max="3" width="35.5703125" customWidth="1"/>
    <col min="4" max="4" width="39.5703125" customWidth="1"/>
    <col min="5" max="5" width="62.42578125" customWidth="1"/>
    <col min="6" max="6" width="74.5703125" customWidth="1"/>
    <col min="7" max="7" width="37.28515625" customWidth="1"/>
    <col min="8" max="8" width="29" customWidth="1"/>
    <col min="9" max="9" width="23.85546875" customWidth="1"/>
    <col min="10" max="10" width="33.85546875" customWidth="1"/>
    <col min="11" max="11" width="23.28515625" customWidth="1"/>
    <col min="12" max="12" width="39.42578125" customWidth="1"/>
    <col min="13" max="13" width="22.7109375" customWidth="1"/>
    <col min="14" max="14" width="31.28515625" customWidth="1"/>
    <col min="15" max="15" width="30.7109375" style="86" customWidth="1"/>
    <col min="16" max="16" width="18.28515625" style="86" customWidth="1"/>
    <col min="17" max="17" width="18.5703125" style="86" customWidth="1"/>
    <col min="18" max="18" width="18.140625" style="86" customWidth="1"/>
    <col min="19" max="23" width="9.140625" style="86"/>
  </cols>
  <sheetData>
    <row r="1" spans="1:17" x14ac:dyDescent="0.25">
      <c r="A1" s="2" t="s">
        <v>0</v>
      </c>
    </row>
    <row r="2" spans="1:17" x14ac:dyDescent="0.25">
      <c r="A2" s="1" t="s">
        <v>9</v>
      </c>
    </row>
    <row r="3" spans="1:17" x14ac:dyDescent="0.25">
      <c r="A3" s="1" t="s">
        <v>884</v>
      </c>
      <c r="B3" s="1" t="s">
        <v>885</v>
      </c>
      <c r="C3" s="1" t="s">
        <v>886</v>
      </c>
      <c r="D3" s="1" t="s">
        <v>887</v>
      </c>
      <c r="E3" s="1" t="s">
        <v>888</v>
      </c>
      <c r="F3" s="1" t="s">
        <v>889</v>
      </c>
      <c r="G3" s="1" t="s">
        <v>890</v>
      </c>
      <c r="H3" s="1" t="s">
        <v>891</v>
      </c>
      <c r="I3" s="1" t="s">
        <v>892</v>
      </c>
      <c r="J3" s="1" t="s">
        <v>893</v>
      </c>
      <c r="L3" s="1" t="s">
        <v>894</v>
      </c>
      <c r="M3" s="1" t="s">
        <v>4375</v>
      </c>
      <c r="N3" s="1" t="s">
        <v>4966</v>
      </c>
      <c r="O3" s="1" t="s">
        <v>4967</v>
      </c>
    </row>
    <row r="4" spans="1:17" x14ac:dyDescent="0.25">
      <c r="A4" s="1"/>
      <c r="B4" s="20">
        <v>0</v>
      </c>
      <c r="C4" s="20" t="s">
        <v>895</v>
      </c>
      <c r="D4" s="20"/>
      <c r="E4" s="20" t="s">
        <v>896</v>
      </c>
      <c r="F4" s="20" t="s">
        <v>897</v>
      </c>
      <c r="G4" s="1"/>
      <c r="H4" s="1"/>
      <c r="I4" s="1"/>
      <c r="J4" s="1"/>
      <c r="L4" s="1"/>
    </row>
    <row r="5" spans="1:17" x14ac:dyDescent="0.25">
      <c r="A5" s="1"/>
      <c r="B5" s="1"/>
      <c r="C5" s="1"/>
      <c r="D5" s="1"/>
      <c r="E5" s="1"/>
      <c r="F5" s="1"/>
      <c r="G5" s="1"/>
      <c r="H5" s="1"/>
      <c r="I5" s="1"/>
      <c r="J5" s="1"/>
      <c r="L5" s="1"/>
    </row>
    <row r="6" spans="1:17" x14ac:dyDescent="0.25">
      <c r="A6" s="21" t="s">
        <v>898</v>
      </c>
      <c r="D6" s="21" t="s">
        <v>899</v>
      </c>
      <c r="G6" s="22" t="s">
        <v>900</v>
      </c>
      <c r="H6" s="22" t="s">
        <v>900</v>
      </c>
      <c r="I6" s="22" t="s">
        <v>900</v>
      </c>
      <c r="J6" s="13" t="s">
        <v>901</v>
      </c>
      <c r="L6" s="22" t="s">
        <v>900</v>
      </c>
      <c r="M6" s="22" t="s">
        <v>900</v>
      </c>
      <c r="O6" s="22" t="s">
        <v>900</v>
      </c>
    </row>
    <row r="7" spans="1:17" x14ac:dyDescent="0.25">
      <c r="A7" s="23" t="s">
        <v>902</v>
      </c>
      <c r="G7" s="24" t="s">
        <v>903</v>
      </c>
      <c r="H7" s="24" t="s">
        <v>903</v>
      </c>
      <c r="I7" t="s">
        <v>903</v>
      </c>
      <c r="O7"/>
    </row>
    <row r="8" spans="1:17" x14ac:dyDescent="0.25">
      <c r="A8" s="23" t="s">
        <v>904</v>
      </c>
      <c r="B8" s="21">
        <v>0</v>
      </c>
      <c r="C8" s="21" t="s">
        <v>905</v>
      </c>
      <c r="D8" s="21"/>
      <c r="E8" s="23" t="s">
        <v>906</v>
      </c>
      <c r="F8" s="21" t="s">
        <v>907</v>
      </c>
      <c r="G8" s="21" t="s">
        <v>898</v>
      </c>
      <c r="I8" s="12" t="s">
        <v>908</v>
      </c>
      <c r="O8"/>
      <c r="Q8" s="85"/>
    </row>
    <row r="9" spans="1:17" x14ac:dyDescent="0.25">
      <c r="A9" s="23" t="s">
        <v>909</v>
      </c>
      <c r="G9" s="24" t="s">
        <v>910</v>
      </c>
      <c r="H9" s="24" t="s">
        <v>910</v>
      </c>
      <c r="I9" s="24" t="s">
        <v>910</v>
      </c>
      <c r="J9" s="13" t="s">
        <v>901</v>
      </c>
      <c r="L9" s="24" t="s">
        <v>910</v>
      </c>
      <c r="M9" s="24" t="s">
        <v>910</v>
      </c>
      <c r="O9" s="24" t="s">
        <v>910</v>
      </c>
    </row>
    <row r="10" spans="1:17" x14ac:dyDescent="0.25">
      <c r="A10" s="23" t="s">
        <v>911</v>
      </c>
      <c r="G10" s="23" t="s">
        <v>902</v>
      </c>
      <c r="I10" s="22" t="s">
        <v>912</v>
      </c>
      <c r="J10" s="13" t="s">
        <v>913</v>
      </c>
    </row>
    <row r="11" spans="1:17" x14ac:dyDescent="0.25">
      <c r="A11" s="23"/>
      <c r="G11" s="24" t="s">
        <v>914</v>
      </c>
      <c r="H11" s="24" t="s">
        <v>914</v>
      </c>
      <c r="I11" s="24" t="s">
        <v>915</v>
      </c>
      <c r="J11" s="13"/>
    </row>
    <row r="12" spans="1:17" x14ac:dyDescent="0.25">
      <c r="A12" s="21" t="s">
        <v>916</v>
      </c>
      <c r="G12" s="23" t="s">
        <v>904</v>
      </c>
      <c r="I12" s="22" t="s">
        <v>917</v>
      </c>
      <c r="J12" t="s">
        <v>901</v>
      </c>
    </row>
    <row r="13" spans="1:17" x14ac:dyDescent="0.25">
      <c r="A13" s="25" t="s">
        <v>918</v>
      </c>
      <c r="G13" s="23" t="s">
        <v>909</v>
      </c>
      <c r="I13" s="13" t="s">
        <v>909</v>
      </c>
    </row>
    <row r="14" spans="1:17" x14ac:dyDescent="0.25">
      <c r="A14" s="25" t="s">
        <v>919</v>
      </c>
      <c r="G14" s="23" t="s">
        <v>911</v>
      </c>
      <c r="I14" s="13" t="s">
        <v>920</v>
      </c>
    </row>
    <row r="15" spans="1:17" x14ac:dyDescent="0.25">
      <c r="A15" s="25" t="s">
        <v>921</v>
      </c>
      <c r="G15" s="21" t="s">
        <v>916</v>
      </c>
      <c r="I15" s="12" t="s">
        <v>916</v>
      </c>
    </row>
    <row r="16" spans="1:17" x14ac:dyDescent="0.25">
      <c r="A16" s="25" t="s">
        <v>922</v>
      </c>
      <c r="B16" s="25">
        <v>1</v>
      </c>
      <c r="C16" s="25" t="s">
        <v>923</v>
      </c>
      <c r="D16" s="25"/>
      <c r="E16" s="25" t="s">
        <v>924</v>
      </c>
      <c r="F16" s="25" t="s">
        <v>925</v>
      </c>
      <c r="G16" s="22" t="s">
        <v>926</v>
      </c>
      <c r="H16" s="22" t="s">
        <v>926</v>
      </c>
      <c r="I16" s="13" t="s">
        <v>926</v>
      </c>
    </row>
    <row r="17" spans="1:18" x14ac:dyDescent="0.25">
      <c r="A17" s="25"/>
      <c r="B17" s="25"/>
      <c r="C17" s="25"/>
      <c r="D17" s="25"/>
      <c r="E17" s="25"/>
      <c r="F17" s="25" t="s">
        <v>927</v>
      </c>
      <c r="I17" s="13"/>
    </row>
    <row r="18" spans="1:18" x14ac:dyDescent="0.25">
      <c r="A18" s="25"/>
      <c r="B18" s="25"/>
      <c r="C18" s="25"/>
      <c r="D18" s="25"/>
      <c r="E18" s="25"/>
      <c r="F18" s="25" t="s">
        <v>928</v>
      </c>
      <c r="I18" s="13"/>
    </row>
    <row r="19" spans="1:18" x14ac:dyDescent="0.25">
      <c r="A19" s="25" t="s">
        <v>929</v>
      </c>
    </row>
    <row r="20" spans="1:18" x14ac:dyDescent="0.25">
      <c r="A20" s="25" t="s">
        <v>930</v>
      </c>
    </row>
    <row r="21" spans="1:18" x14ac:dyDescent="0.25">
      <c r="A21" s="26" t="s">
        <v>931</v>
      </c>
      <c r="B21" s="26">
        <v>2</v>
      </c>
      <c r="C21" s="26" t="s">
        <v>932</v>
      </c>
      <c r="D21" s="26"/>
      <c r="E21" s="26" t="s">
        <v>933</v>
      </c>
      <c r="F21" s="26" t="s">
        <v>934</v>
      </c>
      <c r="G21" s="24" t="s">
        <v>935</v>
      </c>
      <c r="H21" s="24" t="s">
        <v>935</v>
      </c>
      <c r="I21" s="12" t="s">
        <v>935</v>
      </c>
    </row>
    <row r="22" spans="1:18" x14ac:dyDescent="0.25">
      <c r="A22" s="26" t="s">
        <v>936</v>
      </c>
      <c r="G22" s="23" t="s">
        <v>937</v>
      </c>
      <c r="I22" s="3" t="s">
        <v>938</v>
      </c>
    </row>
    <row r="23" spans="1:18" x14ac:dyDescent="0.25">
      <c r="A23" s="23" t="s">
        <v>939</v>
      </c>
      <c r="G23" s="23" t="s">
        <v>939</v>
      </c>
      <c r="H23" s="3"/>
      <c r="I23" s="3" t="s">
        <v>940</v>
      </c>
      <c r="P23" s="111"/>
      <c r="Q23" s="111"/>
      <c r="R23" s="112"/>
    </row>
    <row r="24" spans="1:18" x14ac:dyDescent="0.25">
      <c r="A24" s="23" t="s">
        <v>942</v>
      </c>
      <c r="G24" s="23" t="s">
        <v>942</v>
      </c>
      <c r="H24" s="3"/>
      <c r="I24" s="3" t="s">
        <v>943</v>
      </c>
    </row>
    <row r="25" spans="1:18" x14ac:dyDescent="0.25">
      <c r="A25" s="23" t="s">
        <v>937</v>
      </c>
      <c r="G25" s="23" t="s">
        <v>944</v>
      </c>
      <c r="H25" s="3"/>
      <c r="I25" s="3" t="s">
        <v>944</v>
      </c>
    </row>
    <row r="26" spans="1:18" x14ac:dyDescent="0.25">
      <c r="A26" s="23" t="s">
        <v>945</v>
      </c>
      <c r="G26" s="21" t="s">
        <v>946</v>
      </c>
      <c r="I26" t="s">
        <v>946</v>
      </c>
    </row>
    <row r="27" spans="1:18" x14ac:dyDescent="0.25">
      <c r="A27" s="23" t="s">
        <v>944</v>
      </c>
      <c r="G27" s="23" t="s">
        <v>947</v>
      </c>
      <c r="H27" s="3"/>
      <c r="I27" s="3" t="s">
        <v>947</v>
      </c>
    </row>
    <row r="28" spans="1:18" x14ac:dyDescent="0.25">
      <c r="A28" s="23" t="s">
        <v>947</v>
      </c>
      <c r="G28" s="21" t="s">
        <v>948</v>
      </c>
      <c r="H28" s="3"/>
      <c r="I28" t="s">
        <v>948</v>
      </c>
    </row>
    <row r="29" spans="1:18" x14ac:dyDescent="0.25">
      <c r="A29" s="21" t="s">
        <v>948</v>
      </c>
      <c r="G29" s="21" t="s">
        <v>949</v>
      </c>
      <c r="H29" s="3"/>
      <c r="I29" t="s">
        <v>949</v>
      </c>
    </row>
    <row r="30" spans="1:18" x14ac:dyDescent="0.25">
      <c r="A30" s="21" t="s">
        <v>949</v>
      </c>
      <c r="G30" s="23" t="s">
        <v>945</v>
      </c>
      <c r="H30" s="3"/>
      <c r="I30" t="s">
        <v>945</v>
      </c>
    </row>
    <row r="31" spans="1:18" x14ac:dyDescent="0.25">
      <c r="A31" s="23" t="s">
        <v>950</v>
      </c>
      <c r="G31" s="23" t="s">
        <v>950</v>
      </c>
      <c r="H31" s="3"/>
      <c r="I31" s="3" t="s">
        <v>950</v>
      </c>
    </row>
    <row r="32" spans="1:18" x14ac:dyDescent="0.25">
      <c r="A32" s="23" t="s">
        <v>951</v>
      </c>
      <c r="G32" s="23" t="s">
        <v>951</v>
      </c>
      <c r="H32" s="3"/>
      <c r="I32" s="3" t="s">
        <v>951</v>
      </c>
    </row>
    <row r="33" spans="1:23" x14ac:dyDescent="0.25">
      <c r="A33" s="23" t="s">
        <v>952</v>
      </c>
      <c r="D33" s="21" t="s">
        <v>953</v>
      </c>
      <c r="G33" s="23" t="s">
        <v>952</v>
      </c>
      <c r="I33" s="3" t="s">
        <v>952</v>
      </c>
    </row>
    <row r="34" spans="1:23" s="12" customFormat="1" x14ac:dyDescent="0.25">
      <c r="A34" s="13"/>
      <c r="O34" s="85"/>
      <c r="P34" s="85"/>
      <c r="Q34" s="85"/>
      <c r="R34" s="85"/>
      <c r="S34" s="85"/>
      <c r="T34" s="85"/>
      <c r="U34" s="85"/>
      <c r="V34" s="85"/>
      <c r="W34" s="85"/>
    </row>
    <row r="35" spans="1:23" s="12" customFormat="1" x14ac:dyDescent="0.25">
      <c r="A35" s="13"/>
      <c r="B35" s="20">
        <v>0</v>
      </c>
      <c r="C35" s="20" t="s">
        <v>954</v>
      </c>
      <c r="D35" s="20"/>
      <c r="E35" s="20" t="s">
        <v>4425</v>
      </c>
      <c r="F35" s="20" t="s">
        <v>953</v>
      </c>
      <c r="O35" s="85"/>
      <c r="P35" s="85"/>
      <c r="Q35" s="85"/>
      <c r="R35" s="85"/>
      <c r="S35" s="85"/>
      <c r="T35" s="85"/>
      <c r="U35" s="85"/>
      <c r="V35" s="85"/>
      <c r="W35" s="85"/>
    </row>
    <row r="36" spans="1:23" s="12" customFormat="1" x14ac:dyDescent="0.25">
      <c r="A36" s="13"/>
      <c r="O36" s="85"/>
      <c r="P36" s="85"/>
      <c r="Q36" s="85"/>
      <c r="R36" s="85"/>
      <c r="S36" s="85"/>
      <c r="T36" s="85"/>
      <c r="U36" s="85"/>
      <c r="V36" s="85"/>
      <c r="W36" s="85"/>
    </row>
    <row r="37" spans="1:23" s="12" customFormat="1" x14ac:dyDescent="0.25">
      <c r="A37" s="13"/>
      <c r="B37" s="20">
        <v>0</v>
      </c>
      <c r="C37" s="20" t="s">
        <v>955</v>
      </c>
      <c r="D37" s="20"/>
      <c r="E37" s="20" t="s">
        <v>956</v>
      </c>
      <c r="F37" s="20" t="s">
        <v>957</v>
      </c>
      <c r="O37" s="85"/>
      <c r="P37" s="85"/>
      <c r="Q37" s="85"/>
      <c r="R37" s="85"/>
      <c r="S37" s="85"/>
      <c r="T37" s="85"/>
      <c r="U37" s="85"/>
      <c r="V37" s="85"/>
      <c r="W37" s="85"/>
    </row>
    <row r="38" spans="1:23" s="12" customFormat="1" x14ac:dyDescent="0.25">
      <c r="A38" s="13"/>
      <c r="B38" s="20"/>
      <c r="C38" s="20"/>
      <c r="D38" s="20"/>
      <c r="E38" s="20"/>
      <c r="F38" s="20" t="s">
        <v>958</v>
      </c>
      <c r="O38" s="85"/>
      <c r="P38" s="85"/>
      <c r="Q38" s="85"/>
      <c r="R38" s="85"/>
      <c r="S38" s="85"/>
      <c r="T38" s="85"/>
      <c r="U38" s="85"/>
      <c r="V38" s="85"/>
      <c r="W38" s="85"/>
    </row>
    <row r="39" spans="1:23" s="12" customFormat="1" x14ac:dyDescent="0.25">
      <c r="A39" s="13"/>
      <c r="B39" s="20"/>
      <c r="C39" s="20"/>
      <c r="D39" s="20"/>
      <c r="E39" s="20"/>
      <c r="F39" s="20" t="s">
        <v>959</v>
      </c>
      <c r="O39" s="85"/>
      <c r="P39" s="85"/>
      <c r="Q39" s="85"/>
      <c r="R39" s="85"/>
      <c r="S39" s="85"/>
      <c r="T39" s="85"/>
      <c r="U39" s="85"/>
      <c r="V39" s="85"/>
      <c r="W39" s="85"/>
    </row>
    <row r="40" spans="1:23" s="12" customFormat="1" x14ac:dyDescent="0.25">
      <c r="A40" s="13"/>
      <c r="O40" s="85"/>
      <c r="P40" s="85"/>
      <c r="Q40" s="85"/>
      <c r="R40" s="85"/>
      <c r="S40" s="85"/>
      <c r="T40" s="85"/>
      <c r="U40" s="85"/>
      <c r="V40" s="85"/>
      <c r="W40" s="85"/>
    </row>
    <row r="41" spans="1:23" x14ac:dyDescent="0.25">
      <c r="A41" s="27" t="s">
        <v>960</v>
      </c>
      <c r="B41" s="28">
        <v>4</v>
      </c>
      <c r="C41" s="28" t="s">
        <v>961</v>
      </c>
      <c r="D41" s="28" t="s">
        <v>962</v>
      </c>
      <c r="E41" s="28" t="s">
        <v>963</v>
      </c>
      <c r="F41" s="28" t="s">
        <v>964</v>
      </c>
      <c r="G41" s="22" t="s">
        <v>960</v>
      </c>
      <c r="H41" s="22" t="s">
        <v>960</v>
      </c>
      <c r="I41" s="3" t="s">
        <v>965</v>
      </c>
    </row>
    <row r="42" spans="1:23" x14ac:dyDescent="0.25">
      <c r="A42" s="27"/>
      <c r="B42" s="28"/>
      <c r="C42" s="28"/>
      <c r="D42" s="28"/>
      <c r="E42" s="28"/>
      <c r="F42" s="28" t="s">
        <v>966</v>
      </c>
      <c r="G42" s="22"/>
      <c r="H42" s="22"/>
      <c r="I42" s="3"/>
    </row>
    <row r="43" spans="1:23" x14ac:dyDescent="0.25">
      <c r="A43" s="27"/>
      <c r="B43" s="28"/>
      <c r="C43" s="28"/>
      <c r="D43" s="28"/>
      <c r="E43" s="28"/>
      <c r="F43" s="28" t="s">
        <v>967</v>
      </c>
      <c r="G43" s="22"/>
      <c r="H43" s="22"/>
      <c r="I43" s="3"/>
    </row>
    <row r="44" spans="1:23" x14ac:dyDescent="0.25">
      <c r="A44" s="27"/>
      <c r="B44" s="28"/>
      <c r="C44" s="28"/>
      <c r="D44" s="28"/>
      <c r="F44" s="28" t="s">
        <v>968</v>
      </c>
      <c r="G44" s="22"/>
      <c r="H44" s="22"/>
      <c r="I44" s="3"/>
    </row>
    <row r="45" spans="1:23" x14ac:dyDescent="0.25">
      <c r="A45" s="27"/>
      <c r="B45" s="28"/>
      <c r="C45" s="28"/>
      <c r="D45" s="28"/>
      <c r="F45" s="28" t="s">
        <v>969</v>
      </c>
      <c r="G45" s="22"/>
      <c r="H45" s="22"/>
      <c r="I45" s="3"/>
    </row>
    <row r="46" spans="1:23" x14ac:dyDescent="0.25">
      <c r="A46" s="27"/>
      <c r="B46" s="28"/>
      <c r="C46" s="28"/>
      <c r="D46" s="28"/>
      <c r="F46" s="28" t="s">
        <v>970</v>
      </c>
      <c r="G46" s="22"/>
      <c r="H46" s="22"/>
      <c r="I46" s="3"/>
    </row>
    <row r="47" spans="1:23" x14ac:dyDescent="0.25">
      <c r="A47" s="27"/>
      <c r="B47" s="28"/>
      <c r="C47" s="28"/>
      <c r="D47" s="28"/>
      <c r="F47" s="28" t="s">
        <v>971</v>
      </c>
      <c r="G47" s="22"/>
      <c r="H47" s="22"/>
      <c r="I47" s="3"/>
    </row>
    <row r="48" spans="1:23" x14ac:dyDescent="0.25">
      <c r="A48" s="27" t="s">
        <v>972</v>
      </c>
      <c r="D48" s="28" t="s">
        <v>973</v>
      </c>
      <c r="F48" s="28" t="s">
        <v>974</v>
      </c>
      <c r="G48" s="22" t="s">
        <v>972</v>
      </c>
      <c r="H48" s="22" t="s">
        <v>972</v>
      </c>
      <c r="I48" s="3" t="s">
        <v>972</v>
      </c>
    </row>
    <row r="49" spans="1:23" x14ac:dyDescent="0.25">
      <c r="A49" s="27"/>
      <c r="D49" s="28"/>
      <c r="G49" s="22"/>
      <c r="H49" s="22"/>
      <c r="I49" s="3"/>
    </row>
    <row r="50" spans="1:23" s="12" customFormat="1" x14ac:dyDescent="0.25">
      <c r="A50" s="13"/>
      <c r="G50" s="13"/>
      <c r="H50" s="13"/>
      <c r="I50" s="13"/>
      <c r="O50" s="85"/>
      <c r="P50" s="85"/>
      <c r="Q50" s="85"/>
      <c r="R50" s="85"/>
      <c r="S50" s="85"/>
      <c r="T50" s="85"/>
      <c r="U50" s="85"/>
      <c r="V50" s="85"/>
      <c r="W50" s="85"/>
    </row>
    <row r="51" spans="1:23" s="12" customFormat="1" x14ac:dyDescent="0.25">
      <c r="A51" s="13"/>
      <c r="B51" s="20">
        <v>0</v>
      </c>
      <c r="C51" s="20" t="s">
        <v>975</v>
      </c>
      <c r="D51" s="20"/>
      <c r="E51" s="20" t="s">
        <v>976</v>
      </c>
      <c r="F51" s="20" t="s">
        <v>977</v>
      </c>
      <c r="G51" s="13"/>
      <c r="H51" s="13"/>
      <c r="I51" s="13"/>
      <c r="O51" s="85"/>
      <c r="P51" s="85"/>
      <c r="Q51" s="85"/>
      <c r="R51" s="85"/>
      <c r="S51" s="85"/>
      <c r="T51" s="85"/>
      <c r="U51" s="85"/>
      <c r="V51" s="85"/>
      <c r="W51" s="85"/>
    </row>
    <row r="52" spans="1:23" s="12" customFormat="1" x14ac:dyDescent="0.25">
      <c r="A52" s="13"/>
      <c r="F52" s="20" t="s">
        <v>978</v>
      </c>
      <c r="G52" s="13"/>
      <c r="H52" s="13"/>
      <c r="I52" s="13"/>
      <c r="O52" s="85"/>
      <c r="P52" s="85"/>
      <c r="Q52" s="85"/>
      <c r="R52" s="85"/>
      <c r="S52" s="85"/>
      <c r="T52" s="85"/>
      <c r="U52" s="85"/>
      <c r="V52" s="85"/>
      <c r="W52" s="85"/>
    </row>
    <row r="53" spans="1:23" x14ac:dyDescent="0.25">
      <c r="A53" s="29" t="s">
        <v>979</v>
      </c>
      <c r="B53" s="30">
        <v>5</v>
      </c>
      <c r="C53" s="30" t="s">
        <v>980</v>
      </c>
      <c r="D53" s="30" t="s">
        <v>981</v>
      </c>
      <c r="E53" s="30" t="s">
        <v>982</v>
      </c>
      <c r="F53" s="30" t="s">
        <v>983</v>
      </c>
      <c r="G53" s="22" t="s">
        <v>979</v>
      </c>
      <c r="H53" s="22" t="s">
        <v>979</v>
      </c>
      <c r="I53" s="3" t="s">
        <v>979</v>
      </c>
    </row>
    <row r="54" spans="1:23" x14ac:dyDescent="0.25">
      <c r="A54" s="29"/>
      <c r="B54" s="30"/>
      <c r="C54" s="30"/>
      <c r="D54" s="30" t="s">
        <v>984</v>
      </c>
      <c r="E54" s="30"/>
      <c r="F54" s="30"/>
      <c r="G54" s="22"/>
      <c r="H54" s="22"/>
      <c r="I54" s="3"/>
    </row>
    <row r="55" spans="1:23" s="12" customFormat="1" x14ac:dyDescent="0.25">
      <c r="A55" s="13"/>
      <c r="G55" s="13"/>
      <c r="H55" s="13"/>
      <c r="I55" s="13"/>
      <c r="O55" s="85"/>
      <c r="P55" s="85"/>
      <c r="Q55" s="85"/>
      <c r="R55" s="85"/>
      <c r="S55" s="85"/>
      <c r="T55" s="85"/>
      <c r="U55" s="85"/>
      <c r="V55" s="85"/>
      <c r="W55" s="85"/>
    </row>
    <row r="56" spans="1:23" s="12" customFormat="1" x14ac:dyDescent="0.25">
      <c r="A56" s="13"/>
      <c r="B56" s="20">
        <v>0</v>
      </c>
      <c r="C56" s="20" t="s">
        <v>985</v>
      </c>
      <c r="D56" s="20"/>
      <c r="E56" s="20" t="s">
        <v>986</v>
      </c>
      <c r="F56" s="20" t="s">
        <v>987</v>
      </c>
      <c r="G56" s="13"/>
      <c r="H56" s="13"/>
      <c r="I56" s="13"/>
      <c r="O56" s="85"/>
      <c r="P56" s="85"/>
      <c r="Q56" s="85"/>
      <c r="R56" s="85"/>
      <c r="S56" s="85"/>
      <c r="T56" s="85"/>
      <c r="U56" s="85"/>
      <c r="V56" s="85"/>
      <c r="W56" s="85"/>
    </row>
    <row r="57" spans="1:23" s="12" customFormat="1" x14ac:dyDescent="0.25">
      <c r="A57" s="13"/>
      <c r="F57" s="20" t="s">
        <v>988</v>
      </c>
      <c r="G57" s="13"/>
      <c r="H57" s="13"/>
      <c r="I57" s="13"/>
      <c r="O57" s="85"/>
      <c r="P57" s="85"/>
      <c r="Q57" s="85"/>
      <c r="R57" s="85"/>
      <c r="S57" s="85"/>
      <c r="T57" s="85"/>
      <c r="U57" s="85"/>
      <c r="V57" s="85"/>
      <c r="W57" s="85"/>
    </row>
    <row r="58" spans="1:23" x14ac:dyDescent="0.25">
      <c r="A58" s="31" t="s">
        <v>989</v>
      </c>
      <c r="B58" s="32">
        <v>6</v>
      </c>
      <c r="C58" s="32" t="s">
        <v>990</v>
      </c>
      <c r="D58" s="32" t="s">
        <v>991</v>
      </c>
      <c r="E58" s="32" t="s">
        <v>992</v>
      </c>
      <c r="F58" s="32" t="s">
        <v>993</v>
      </c>
      <c r="G58" s="22" t="s">
        <v>989</v>
      </c>
      <c r="H58" s="24" t="s">
        <v>989</v>
      </c>
      <c r="I58" s="3" t="s">
        <v>989</v>
      </c>
    </row>
    <row r="59" spans="1:23" x14ac:dyDescent="0.25">
      <c r="A59" s="31"/>
      <c r="B59" s="32"/>
      <c r="C59" s="32"/>
      <c r="D59" s="32" t="s">
        <v>984</v>
      </c>
      <c r="E59" s="32"/>
      <c r="F59" s="32"/>
      <c r="G59" s="22"/>
      <c r="H59" s="24"/>
      <c r="I59" s="3"/>
    </row>
    <row r="60" spans="1:23" s="12" customFormat="1" x14ac:dyDescent="0.25">
      <c r="A60" s="13"/>
      <c r="G60" s="13"/>
      <c r="I60" s="13"/>
      <c r="O60" s="85"/>
      <c r="P60" s="85"/>
      <c r="Q60" s="85"/>
      <c r="R60" s="85"/>
      <c r="S60" s="85"/>
      <c r="T60" s="85"/>
      <c r="U60" s="85"/>
      <c r="V60" s="85"/>
      <c r="W60" s="85"/>
    </row>
    <row r="61" spans="1:23" s="12" customFormat="1" x14ac:dyDescent="0.25">
      <c r="A61" s="13"/>
      <c r="B61" s="20">
        <v>0</v>
      </c>
      <c r="C61" s="20" t="s">
        <v>994</v>
      </c>
      <c r="D61" s="20"/>
      <c r="E61" s="20" t="s">
        <v>995</v>
      </c>
      <c r="F61" s="20" t="s">
        <v>996</v>
      </c>
      <c r="G61" s="13"/>
      <c r="I61" s="13"/>
      <c r="O61" s="85"/>
      <c r="P61" s="85"/>
      <c r="Q61" s="85"/>
      <c r="R61" s="85"/>
      <c r="S61" s="85"/>
      <c r="T61" s="85"/>
      <c r="U61" s="85"/>
      <c r="V61" s="85"/>
      <c r="W61" s="85"/>
    </row>
    <row r="62" spans="1:23" s="12" customFormat="1" x14ac:dyDescent="0.25">
      <c r="A62" s="13"/>
      <c r="F62" s="20" t="s">
        <v>997</v>
      </c>
      <c r="G62" s="13"/>
      <c r="I62" s="13"/>
      <c r="O62" s="85"/>
      <c r="P62" s="85"/>
      <c r="Q62" s="85"/>
      <c r="R62" s="85"/>
      <c r="S62" s="85"/>
      <c r="T62" s="85"/>
      <c r="U62" s="85"/>
      <c r="V62" s="85"/>
      <c r="W62" s="85"/>
    </row>
    <row r="63" spans="1:23" s="12" customFormat="1" x14ac:dyDescent="0.25">
      <c r="A63" s="13"/>
      <c r="F63" s="20" t="s">
        <v>998</v>
      </c>
      <c r="G63" s="13"/>
      <c r="I63" s="13"/>
      <c r="O63" s="85"/>
      <c r="P63" s="85"/>
      <c r="Q63" s="85"/>
      <c r="R63" s="85"/>
      <c r="S63" s="85"/>
      <c r="T63" s="85"/>
      <c r="U63" s="85"/>
      <c r="V63" s="85"/>
      <c r="W63" s="85"/>
    </row>
    <row r="64" spans="1:23" x14ac:dyDescent="0.25">
      <c r="A64" s="33" t="s">
        <v>999</v>
      </c>
      <c r="B64" s="33">
        <v>7</v>
      </c>
      <c r="C64" s="33" t="s">
        <v>999</v>
      </c>
      <c r="D64" s="33" t="s">
        <v>1000</v>
      </c>
      <c r="E64" s="33" t="s">
        <v>1001</v>
      </c>
      <c r="F64" s="33" t="s">
        <v>1002</v>
      </c>
      <c r="G64" s="33" t="s">
        <v>1003</v>
      </c>
      <c r="H64" s="12"/>
      <c r="I64" s="12" t="s">
        <v>1003</v>
      </c>
    </row>
    <row r="65" spans="1:23" x14ac:dyDescent="0.25">
      <c r="D65" s="33" t="s">
        <v>1004</v>
      </c>
    </row>
    <row r="66" spans="1:23" s="12" customFormat="1" x14ac:dyDescent="0.25">
      <c r="O66" s="85"/>
      <c r="P66" s="85"/>
      <c r="Q66" s="85"/>
      <c r="R66" s="85"/>
      <c r="S66" s="85"/>
      <c r="T66" s="85"/>
      <c r="U66" s="85"/>
      <c r="V66" s="85"/>
      <c r="W66" s="85"/>
    </row>
    <row r="67" spans="1:23" s="12" customFormat="1" x14ac:dyDescent="0.25">
      <c r="B67" s="20">
        <v>0</v>
      </c>
      <c r="C67" s="20" t="s">
        <v>1005</v>
      </c>
      <c r="D67" s="20"/>
      <c r="E67" s="20" t="s">
        <v>1006</v>
      </c>
      <c r="F67" s="20" t="s">
        <v>1007</v>
      </c>
      <c r="O67" s="85"/>
      <c r="P67" s="85"/>
      <c r="Q67" s="85"/>
      <c r="R67" s="85"/>
      <c r="S67" s="85"/>
      <c r="T67" s="85"/>
      <c r="U67" s="85"/>
      <c r="V67" s="85"/>
      <c r="W67" s="85"/>
    </row>
    <row r="68" spans="1:23" s="12" customFormat="1" x14ac:dyDescent="0.25">
      <c r="E68" s="20"/>
      <c r="F68" s="20" t="s">
        <v>1008</v>
      </c>
      <c r="O68" s="85"/>
      <c r="P68" s="85"/>
      <c r="Q68" s="85"/>
      <c r="R68" s="85"/>
      <c r="S68" s="85"/>
      <c r="T68" s="85"/>
      <c r="U68" s="85"/>
      <c r="V68" s="85"/>
      <c r="W68" s="85"/>
    </row>
    <row r="69" spans="1:23" s="12" customFormat="1" x14ac:dyDescent="0.25">
      <c r="E69" s="20"/>
      <c r="F69" s="20" t="s">
        <v>1009</v>
      </c>
      <c r="O69" s="85"/>
      <c r="P69" s="85"/>
      <c r="Q69" s="85"/>
      <c r="R69" s="85"/>
      <c r="S69" s="85"/>
      <c r="T69" s="85"/>
      <c r="U69" s="85"/>
      <c r="V69" s="85"/>
      <c r="W69" s="85"/>
    </row>
    <row r="70" spans="1:23" s="12" customFormat="1" x14ac:dyDescent="0.25">
      <c r="E70" s="20"/>
      <c r="F70" s="20" t="s">
        <v>4358</v>
      </c>
      <c r="O70" s="85"/>
      <c r="P70" s="85"/>
      <c r="Q70" s="85"/>
      <c r="R70" s="85"/>
      <c r="S70" s="85"/>
      <c r="T70" s="85"/>
      <c r="U70" s="85"/>
      <c r="V70" s="85"/>
      <c r="W70" s="85"/>
    </row>
    <row r="71" spans="1:23" x14ac:dyDescent="0.25">
      <c r="A71" s="34" t="s">
        <v>1010</v>
      </c>
      <c r="B71" s="34">
        <v>8</v>
      </c>
      <c r="C71" s="34" t="s">
        <v>1011</v>
      </c>
      <c r="D71" s="34" t="s">
        <v>1012</v>
      </c>
      <c r="E71" s="34" t="s">
        <v>4361</v>
      </c>
      <c r="F71" s="34" t="s">
        <v>1013</v>
      </c>
      <c r="G71" s="24" t="s">
        <v>1010</v>
      </c>
      <c r="H71" s="24" t="s">
        <v>1010</v>
      </c>
      <c r="I71" s="24" t="s">
        <v>1010</v>
      </c>
      <c r="J71" t="s">
        <v>1014</v>
      </c>
      <c r="O71" s="85"/>
      <c r="Q71" s="85"/>
    </row>
    <row r="72" spans="1:23" x14ac:dyDescent="0.25">
      <c r="D72" s="34" t="s">
        <v>1015</v>
      </c>
      <c r="F72" s="34" t="s">
        <v>1016</v>
      </c>
    </row>
    <row r="73" spans="1:23" x14ac:dyDescent="0.25">
      <c r="F73" s="34" t="s">
        <v>1017</v>
      </c>
    </row>
    <row r="74" spans="1:23" x14ac:dyDescent="0.25">
      <c r="F74" s="34" t="s">
        <v>1018</v>
      </c>
    </row>
    <row r="75" spans="1:23" x14ac:dyDescent="0.25">
      <c r="F75" s="34" t="s">
        <v>1019</v>
      </c>
    </row>
    <row r="76" spans="1:23" x14ac:dyDescent="0.25">
      <c r="F76" s="34" t="s">
        <v>4359</v>
      </c>
    </row>
    <row r="77" spans="1:23" x14ac:dyDescent="0.25">
      <c r="F77" s="34" t="s">
        <v>4360</v>
      </c>
    </row>
    <row r="78" spans="1:23" s="86" customFormat="1" x14ac:dyDescent="0.25">
      <c r="F78" s="85"/>
    </row>
    <row r="79" spans="1:23" s="86" customFormat="1" x14ac:dyDescent="0.25">
      <c r="B79" s="20">
        <v>0</v>
      </c>
      <c r="C79" s="20" t="s">
        <v>4453</v>
      </c>
      <c r="D79" s="20"/>
      <c r="E79" s="20" t="s">
        <v>4449</v>
      </c>
      <c r="F79" s="20" t="s">
        <v>4450</v>
      </c>
    </row>
    <row r="80" spans="1:23" s="86" customFormat="1" x14ac:dyDescent="0.25">
      <c r="F80" s="85"/>
    </row>
    <row r="81" spans="1:13" s="86" customFormat="1" x14ac:dyDescent="0.25">
      <c r="A81" s="87" t="s">
        <v>4457</v>
      </c>
      <c r="B81" s="87">
        <v>0</v>
      </c>
      <c r="C81" s="87" t="s">
        <v>4452</v>
      </c>
      <c r="D81" s="87"/>
      <c r="E81" s="87" t="s">
        <v>4451</v>
      </c>
      <c r="F81" s="88" t="s">
        <v>4454</v>
      </c>
    </row>
    <row r="82" spans="1:13" s="86" customFormat="1" x14ac:dyDescent="0.25">
      <c r="F82" s="88" t="s">
        <v>4455</v>
      </c>
    </row>
    <row r="83" spans="1:13" x14ac:dyDescent="0.25">
      <c r="F83" s="88" t="s">
        <v>4456</v>
      </c>
    </row>
    <row r="84" spans="1:13" x14ac:dyDescent="0.25">
      <c r="F84" s="85"/>
    </row>
    <row r="86" spans="1:13" x14ac:dyDescent="0.25">
      <c r="B86" s="20">
        <v>0</v>
      </c>
      <c r="C86" s="20" t="s">
        <v>1020</v>
      </c>
      <c r="D86" s="20"/>
      <c r="E86" s="20" t="s">
        <v>1021</v>
      </c>
      <c r="F86" s="20" t="s">
        <v>1022</v>
      </c>
    </row>
    <row r="88" spans="1:13" x14ac:dyDescent="0.25">
      <c r="B88" s="20">
        <v>0</v>
      </c>
      <c r="C88" s="20" t="s">
        <v>4369</v>
      </c>
      <c r="D88" s="20"/>
      <c r="E88" s="20" t="s">
        <v>4370</v>
      </c>
      <c r="F88" s="20" t="s">
        <v>4371</v>
      </c>
    </row>
    <row r="90" spans="1:13" x14ac:dyDescent="0.25">
      <c r="B90" s="20">
        <v>0</v>
      </c>
      <c r="C90" s="20" t="s">
        <v>4448</v>
      </c>
      <c r="D90" s="20"/>
      <c r="E90" s="20" t="s">
        <v>4446</v>
      </c>
      <c r="F90" s="20" t="s">
        <v>4447</v>
      </c>
    </row>
    <row r="92" spans="1:13" x14ac:dyDescent="0.25">
      <c r="B92" s="114">
        <v>0</v>
      </c>
      <c r="C92" s="114" t="s">
        <v>4368</v>
      </c>
      <c r="D92" s="114"/>
      <c r="E92" s="114" t="s">
        <v>4373</v>
      </c>
      <c r="F92" s="114" t="s">
        <v>4372</v>
      </c>
      <c r="M92" s="80" t="s">
        <v>4368</v>
      </c>
    </row>
    <row r="93" spans="1:13" x14ac:dyDescent="0.25">
      <c r="F93" s="114" t="s">
        <v>4374</v>
      </c>
    </row>
    <row r="95" spans="1:13" x14ac:dyDescent="0.25">
      <c r="B95" s="20">
        <v>9</v>
      </c>
      <c r="C95" s="20" t="s">
        <v>1023</v>
      </c>
      <c r="D95" s="20" t="s">
        <v>1024</v>
      </c>
      <c r="E95" s="20" t="s">
        <v>1025</v>
      </c>
      <c r="F95" s="20" t="s">
        <v>1024</v>
      </c>
    </row>
    <row r="96" spans="1:13" x14ac:dyDescent="0.25">
      <c r="F96" s="20" t="s">
        <v>1026</v>
      </c>
    </row>
    <row r="98" spans="1:16" x14ac:dyDescent="0.25">
      <c r="A98" s="35" t="s">
        <v>1027</v>
      </c>
      <c r="B98" s="35">
        <v>10</v>
      </c>
      <c r="C98" s="35" t="s">
        <v>1028</v>
      </c>
      <c r="D98" s="35"/>
      <c r="E98" s="35" t="s">
        <v>1029</v>
      </c>
      <c r="F98" s="35" t="s">
        <v>1030</v>
      </c>
      <c r="L98" t="s">
        <v>1027</v>
      </c>
      <c r="P98" s="85"/>
    </row>
    <row r="99" spans="1:16" x14ac:dyDescent="0.25">
      <c r="A99" s="35" t="s">
        <v>1031</v>
      </c>
      <c r="F99" s="35" t="s">
        <v>1032</v>
      </c>
      <c r="L99" t="s">
        <v>1033</v>
      </c>
    </row>
    <row r="100" spans="1:16" x14ac:dyDescent="0.25">
      <c r="A100" s="35" t="s">
        <v>1034</v>
      </c>
      <c r="F100" s="35" t="s">
        <v>1035</v>
      </c>
      <c r="L100" t="s">
        <v>1036</v>
      </c>
    </row>
    <row r="101" spans="1:16" x14ac:dyDescent="0.25">
      <c r="A101" s="35" t="s">
        <v>1037</v>
      </c>
      <c r="F101" s="35" t="s">
        <v>1038</v>
      </c>
      <c r="L101" t="s">
        <v>1039</v>
      </c>
    </row>
    <row r="102" spans="1:16" x14ac:dyDescent="0.25">
      <c r="A102" s="35" t="s">
        <v>1040</v>
      </c>
      <c r="L102" t="s">
        <v>1041</v>
      </c>
    </row>
    <row r="104" spans="1:16" x14ac:dyDescent="0.25">
      <c r="B104" s="20">
        <v>0</v>
      </c>
      <c r="C104" s="20" t="s">
        <v>1042</v>
      </c>
      <c r="D104" s="20"/>
      <c r="E104" s="20" t="s">
        <v>1043</v>
      </c>
      <c r="F104" s="20" t="s">
        <v>1044</v>
      </c>
    </row>
    <row r="106" spans="1:16" x14ac:dyDescent="0.25">
      <c r="B106" s="20">
        <v>0</v>
      </c>
      <c r="C106" s="20" t="s">
        <v>1045</v>
      </c>
      <c r="D106" s="20"/>
      <c r="E106" s="20" t="s">
        <v>1046</v>
      </c>
      <c r="F106" s="20" t="s">
        <v>1047</v>
      </c>
    </row>
    <row r="107" spans="1:16" x14ac:dyDescent="0.25">
      <c r="F107" s="20" t="s">
        <v>1048</v>
      </c>
    </row>
    <row r="109" spans="1:16" x14ac:dyDescent="0.25">
      <c r="B109" s="36">
        <v>0</v>
      </c>
      <c r="C109" s="36" t="s">
        <v>1049</v>
      </c>
      <c r="D109" s="36"/>
      <c r="E109" s="36" t="s">
        <v>1050</v>
      </c>
      <c r="F109" s="36" t="s">
        <v>1051</v>
      </c>
    </row>
    <row r="111" spans="1:16" x14ac:dyDescent="0.25">
      <c r="B111" s="37">
        <v>0</v>
      </c>
      <c r="C111" s="37" t="s">
        <v>1052</v>
      </c>
      <c r="D111" s="37"/>
      <c r="E111" s="37" t="s">
        <v>1053</v>
      </c>
      <c r="F111" s="37" t="s">
        <v>1054</v>
      </c>
    </row>
    <row r="113" spans="1:15" x14ac:dyDescent="0.25">
      <c r="B113" s="98">
        <v>0</v>
      </c>
      <c r="C113" s="20" t="s">
        <v>4940</v>
      </c>
      <c r="D113" s="98"/>
      <c r="E113" s="98" t="s">
        <v>5028</v>
      </c>
      <c r="F113" s="98" t="s">
        <v>4927</v>
      </c>
    </row>
    <row r="114" spans="1:15" x14ac:dyDescent="0.25">
      <c r="F114" s="98" t="s">
        <v>4928</v>
      </c>
    </row>
    <row r="115" spans="1:15" x14ac:dyDescent="0.25">
      <c r="F115" s="98" t="s">
        <v>5027</v>
      </c>
    </row>
    <row r="116" spans="1:15" x14ac:dyDescent="0.25">
      <c r="F116" s="86"/>
    </row>
    <row r="117" spans="1:15" x14ac:dyDescent="0.25">
      <c r="A117" s="105" t="s">
        <v>4963</v>
      </c>
      <c r="B117" s="105">
        <v>0</v>
      </c>
      <c r="C117" s="105" t="s">
        <v>4943</v>
      </c>
      <c r="D117" s="105"/>
      <c r="E117" s="105" t="s">
        <v>4944</v>
      </c>
      <c r="F117" s="105" t="s">
        <v>4930</v>
      </c>
      <c r="O117" t="s">
        <v>4963</v>
      </c>
    </row>
    <row r="118" spans="1:15" x14ac:dyDescent="0.25">
      <c r="A118" s="105" t="s">
        <v>4964</v>
      </c>
      <c r="F118" s="105" t="s">
        <v>4931</v>
      </c>
      <c r="O118" t="s">
        <v>4964</v>
      </c>
    </row>
    <row r="119" spans="1:15" x14ac:dyDescent="0.25">
      <c r="A119" s="105" t="s">
        <v>4965</v>
      </c>
      <c r="F119" s="105" t="s">
        <v>4932</v>
      </c>
      <c r="O119" t="s">
        <v>4965</v>
      </c>
    </row>
    <row r="120" spans="1:15" x14ac:dyDescent="0.25">
      <c r="F120" s="105" t="s">
        <v>4933</v>
      </c>
    </row>
    <row r="121" spans="1:15" x14ac:dyDescent="0.25">
      <c r="F121" s="105" t="s">
        <v>4934</v>
      </c>
    </row>
    <row r="122" spans="1:15" x14ac:dyDescent="0.25">
      <c r="F122" s="105" t="s">
        <v>4935</v>
      </c>
    </row>
    <row r="123" spans="1:15" x14ac:dyDescent="0.25">
      <c r="F123" s="105" t="s">
        <v>4937</v>
      </c>
    </row>
    <row r="124" spans="1:15" x14ac:dyDescent="0.25">
      <c r="F124" s="86"/>
    </row>
    <row r="125" spans="1:15" x14ac:dyDescent="0.25">
      <c r="A125" s="115" t="s">
        <v>4948</v>
      </c>
      <c r="B125" s="95">
        <v>0</v>
      </c>
      <c r="C125" s="95" t="s">
        <v>4996</v>
      </c>
      <c r="D125" s="95"/>
      <c r="E125" s="95" t="s">
        <v>4942</v>
      </c>
      <c r="F125" s="115" t="s">
        <v>4981</v>
      </c>
      <c r="N125" s="113" t="s">
        <v>4948</v>
      </c>
      <c r="O125" s="85" t="s">
        <v>4968</v>
      </c>
    </row>
    <row r="126" spans="1:15" x14ac:dyDescent="0.25">
      <c r="A126" s="115" t="s">
        <v>4949</v>
      </c>
      <c r="F126" s="115" t="s">
        <v>4982</v>
      </c>
      <c r="N126" s="113" t="s">
        <v>4949</v>
      </c>
      <c r="O126" s="85" t="s">
        <v>4969</v>
      </c>
    </row>
    <row r="127" spans="1:15" x14ac:dyDescent="0.25">
      <c r="A127" s="115"/>
      <c r="F127" s="115" t="s">
        <v>4997</v>
      </c>
      <c r="N127" s="113"/>
      <c r="O127" s="85"/>
    </row>
    <row r="128" spans="1:15" x14ac:dyDescent="0.25">
      <c r="A128" s="115" t="s">
        <v>4950</v>
      </c>
      <c r="F128" s="115" t="s">
        <v>4983</v>
      </c>
      <c r="N128" s="113" t="s">
        <v>4950</v>
      </c>
      <c r="O128" s="85" t="s">
        <v>4970</v>
      </c>
    </row>
    <row r="129" spans="1:15" x14ac:dyDescent="0.25">
      <c r="A129" s="115" t="s">
        <v>4951</v>
      </c>
      <c r="F129" s="115" t="s">
        <v>4984</v>
      </c>
      <c r="N129" s="113" t="s">
        <v>4951</v>
      </c>
      <c r="O129" s="85" t="s">
        <v>4971</v>
      </c>
    </row>
    <row r="130" spans="1:15" x14ac:dyDescent="0.25">
      <c r="A130" s="115" t="s">
        <v>4952</v>
      </c>
      <c r="F130" s="115" t="s">
        <v>4985</v>
      </c>
      <c r="N130" s="113" t="s">
        <v>4952</v>
      </c>
      <c r="O130" s="85" t="s">
        <v>4972</v>
      </c>
    </row>
    <row r="131" spans="1:15" x14ac:dyDescent="0.25">
      <c r="A131" s="115" t="s">
        <v>4953</v>
      </c>
      <c r="F131" s="115" t="s">
        <v>4986</v>
      </c>
      <c r="N131" s="113" t="s">
        <v>4953</v>
      </c>
      <c r="O131" s="85" t="s">
        <v>4973</v>
      </c>
    </row>
    <row r="132" spans="1:15" x14ac:dyDescent="0.25">
      <c r="A132" s="115" t="s">
        <v>4715</v>
      </c>
      <c r="F132" s="115" t="s">
        <v>4987</v>
      </c>
      <c r="N132" s="113" t="s">
        <v>4715</v>
      </c>
      <c r="O132" s="85" t="s">
        <v>4998</v>
      </c>
    </row>
    <row r="133" spans="1:15" x14ac:dyDescent="0.25">
      <c r="A133" s="115" t="s">
        <v>4954</v>
      </c>
      <c r="F133" s="115" t="s">
        <v>4994</v>
      </c>
      <c r="N133" s="113" t="s">
        <v>4954</v>
      </c>
      <c r="O133" s="85" t="s">
        <v>4974</v>
      </c>
    </row>
    <row r="134" spans="1:15" x14ac:dyDescent="0.25">
      <c r="A134" s="115" t="s">
        <v>4955</v>
      </c>
      <c r="F134" s="115" t="s">
        <v>4995</v>
      </c>
      <c r="N134" s="113" t="s">
        <v>4955</v>
      </c>
      <c r="O134" s="85" t="s">
        <v>4975</v>
      </c>
    </row>
    <row r="135" spans="1:15" x14ac:dyDescent="0.25">
      <c r="A135" s="115" t="s">
        <v>4956</v>
      </c>
      <c r="F135" s="115" t="s">
        <v>4988</v>
      </c>
      <c r="N135" s="113" t="s">
        <v>4956</v>
      </c>
      <c r="O135" s="85" t="s">
        <v>4976</v>
      </c>
    </row>
    <row r="136" spans="1:15" x14ac:dyDescent="0.25">
      <c r="A136" s="115" t="s">
        <v>4957</v>
      </c>
      <c r="F136" s="115" t="s">
        <v>4989</v>
      </c>
      <c r="N136" s="113" t="s">
        <v>4957</v>
      </c>
      <c r="O136" s="85" t="s">
        <v>4977</v>
      </c>
    </row>
    <row r="137" spans="1:15" x14ac:dyDescent="0.25">
      <c r="A137" s="115" t="s">
        <v>4958</v>
      </c>
      <c r="F137" s="115" t="s">
        <v>4990</v>
      </c>
      <c r="N137" s="113" t="s">
        <v>4958</v>
      </c>
      <c r="O137" s="85" t="s">
        <v>4958</v>
      </c>
    </row>
    <row r="138" spans="1:15" x14ac:dyDescent="0.25">
      <c r="A138" s="115" t="s">
        <v>4959</v>
      </c>
      <c r="F138" s="115" t="s">
        <v>4991</v>
      </c>
      <c r="N138" s="113" t="s">
        <v>4959</v>
      </c>
      <c r="O138" s="85" t="s">
        <v>4959</v>
      </c>
    </row>
    <row r="139" spans="1:15" x14ac:dyDescent="0.25">
      <c r="A139" s="115" t="s">
        <v>4960</v>
      </c>
      <c r="F139" s="115" t="s">
        <v>4992</v>
      </c>
      <c r="N139" s="113" t="s">
        <v>4960</v>
      </c>
      <c r="O139" s="85" t="s">
        <v>4978</v>
      </c>
    </row>
    <row r="140" spans="1:15" x14ac:dyDescent="0.25">
      <c r="A140" s="115" t="s">
        <v>4961</v>
      </c>
      <c r="F140" s="115" t="s">
        <v>4993</v>
      </c>
      <c r="N140" s="113" t="s">
        <v>4961</v>
      </c>
      <c r="O140" s="85" t="s">
        <v>4979</v>
      </c>
    </row>
    <row r="141" spans="1:15" x14ac:dyDescent="0.25">
      <c r="F141" s="86"/>
      <c r="O141"/>
    </row>
    <row r="142" spans="1:15" x14ac:dyDescent="0.25">
      <c r="B142" s="98">
        <v>0</v>
      </c>
      <c r="C142" s="20" t="s">
        <v>4941</v>
      </c>
      <c r="D142" s="98"/>
      <c r="E142" s="98" t="s">
        <v>4929</v>
      </c>
      <c r="F142" s="98" t="s">
        <v>4930</v>
      </c>
      <c r="O142"/>
    </row>
    <row r="143" spans="1:15" x14ac:dyDescent="0.25">
      <c r="F143" s="98" t="s">
        <v>4931</v>
      </c>
      <c r="O143"/>
    </row>
    <row r="144" spans="1:15" x14ac:dyDescent="0.25">
      <c r="F144" s="98" t="s">
        <v>4932</v>
      </c>
      <c r="O144"/>
    </row>
    <row r="145" spans="1:15" x14ac:dyDescent="0.25">
      <c r="F145" s="98" t="s">
        <v>4933</v>
      </c>
      <c r="O145"/>
    </row>
    <row r="146" spans="1:15" x14ac:dyDescent="0.25">
      <c r="F146" s="98" t="s">
        <v>4934</v>
      </c>
      <c r="O146"/>
    </row>
    <row r="147" spans="1:15" x14ac:dyDescent="0.25">
      <c r="F147" s="98" t="s">
        <v>4935</v>
      </c>
      <c r="O147"/>
    </row>
    <row r="148" spans="1:15" x14ac:dyDescent="0.25">
      <c r="F148" s="98" t="s">
        <v>4937</v>
      </c>
      <c r="O148"/>
    </row>
    <row r="149" spans="1:15" x14ac:dyDescent="0.25">
      <c r="F149" s="98" t="s">
        <v>4936</v>
      </c>
      <c r="O149"/>
    </row>
    <row r="150" spans="1:15" x14ac:dyDescent="0.25">
      <c r="F150" s="98" t="s">
        <v>4938</v>
      </c>
      <c r="O150"/>
    </row>
    <row r="151" spans="1:15" x14ac:dyDescent="0.25">
      <c r="F151" s="98" t="s">
        <v>4939</v>
      </c>
      <c r="O151"/>
    </row>
    <row r="152" spans="1:15" x14ac:dyDescent="0.25">
      <c r="F152" s="86"/>
      <c r="O152"/>
    </row>
    <row r="153" spans="1:15" x14ac:dyDescent="0.25">
      <c r="A153" s="110" t="s">
        <v>4962</v>
      </c>
      <c r="B153" s="110">
        <v>0</v>
      </c>
      <c r="C153" s="110" t="s">
        <v>4946</v>
      </c>
      <c r="D153" s="110"/>
      <c r="E153" s="110" t="s">
        <v>4945</v>
      </c>
      <c r="F153" s="110" t="s">
        <v>4947</v>
      </c>
      <c r="O153" t="s">
        <v>4980</v>
      </c>
    </row>
    <row r="155" spans="1:15" x14ac:dyDescent="0.25">
      <c r="B155" s="20">
        <v>11</v>
      </c>
      <c r="C155" s="20" t="s">
        <v>1055</v>
      </c>
      <c r="D155" s="20"/>
      <c r="E155" s="20" t="s">
        <v>1056</v>
      </c>
      <c r="F155" s="20" t="s">
        <v>1057</v>
      </c>
    </row>
  </sheetData>
  <hyperlinks>
    <hyperlink ref="A1" location="contents!A1" display="Contents" xr:uid="{00000000-0004-0000-0500-000000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97"/>
  <sheetViews>
    <sheetView topLeftCell="C4" zoomScaleNormal="100" workbookViewId="0">
      <selection activeCell="I36" sqref="I36:I37"/>
    </sheetView>
  </sheetViews>
  <sheetFormatPr defaultColWidth="9.140625" defaultRowHeight="15" x14ac:dyDescent="0.25"/>
  <cols>
    <col min="1" max="1" width="33.42578125" customWidth="1"/>
    <col min="2" max="2" width="14.85546875" customWidth="1"/>
    <col min="3" max="3" width="48.5703125" customWidth="1"/>
    <col min="4" max="4" width="46.5703125" customWidth="1"/>
    <col min="5" max="5" width="88" customWidth="1"/>
    <col min="6" max="6" width="88.85546875" customWidth="1"/>
    <col min="7" max="7" width="34.28515625" customWidth="1"/>
    <col min="8" max="8" width="23.42578125" customWidth="1"/>
    <col min="9" max="9" width="36.140625" customWidth="1"/>
    <col min="10" max="10" width="25.28515625" customWidth="1"/>
    <col min="11" max="11" width="30.28515625" customWidth="1"/>
    <col min="12" max="12" width="33.5703125" customWidth="1"/>
  </cols>
  <sheetData>
    <row r="1" spans="1:12" x14ac:dyDescent="0.25">
      <c r="A1" s="2" t="s">
        <v>0</v>
      </c>
    </row>
    <row r="2" spans="1:12" x14ac:dyDescent="0.25">
      <c r="A2" s="1" t="s">
        <v>11</v>
      </c>
    </row>
    <row r="3" spans="1:12" x14ac:dyDescent="0.25">
      <c r="A3" s="1" t="s">
        <v>884</v>
      </c>
      <c r="B3" s="1" t="s">
        <v>885</v>
      </c>
      <c r="C3" s="1" t="s">
        <v>886</v>
      </c>
      <c r="D3" s="1" t="s">
        <v>887</v>
      </c>
      <c r="E3" s="1" t="s">
        <v>888</v>
      </c>
      <c r="F3" s="1" t="s">
        <v>889</v>
      </c>
      <c r="G3" s="1" t="s">
        <v>913</v>
      </c>
      <c r="H3" s="1" t="s">
        <v>1058</v>
      </c>
      <c r="I3" s="1" t="s">
        <v>1059</v>
      </c>
      <c r="J3" s="1" t="s">
        <v>1060</v>
      </c>
      <c r="K3" s="1" t="s">
        <v>1061</v>
      </c>
      <c r="L3" s="1" t="s">
        <v>1062</v>
      </c>
    </row>
    <row r="4" spans="1:12" x14ac:dyDescent="0.25">
      <c r="G4" s="24" t="s">
        <v>900</v>
      </c>
      <c r="H4" s="24" t="s">
        <v>900</v>
      </c>
      <c r="I4" s="24" t="s">
        <v>900</v>
      </c>
      <c r="J4" t="s">
        <v>1063</v>
      </c>
      <c r="K4" s="3" t="s">
        <v>900</v>
      </c>
      <c r="L4" t="s">
        <v>1064</v>
      </c>
    </row>
    <row r="5" spans="1:12" x14ac:dyDescent="0.25">
      <c r="G5" s="24" t="s">
        <v>910</v>
      </c>
      <c r="H5" s="24" t="s">
        <v>910</v>
      </c>
      <c r="I5" s="24" t="s">
        <v>910</v>
      </c>
      <c r="J5" t="s">
        <v>1063</v>
      </c>
      <c r="K5" s="24" t="s">
        <v>910</v>
      </c>
      <c r="L5" t="s">
        <v>1064</v>
      </c>
    </row>
    <row r="6" spans="1:12" x14ac:dyDescent="0.25">
      <c r="G6" s="24" t="s">
        <v>917</v>
      </c>
      <c r="H6" s="24" t="s">
        <v>917</v>
      </c>
      <c r="I6" s="12" t="s">
        <v>917</v>
      </c>
      <c r="K6" s="12" t="s">
        <v>917</v>
      </c>
      <c r="L6" t="s">
        <v>1064</v>
      </c>
    </row>
    <row r="7" spans="1:12" x14ac:dyDescent="0.25">
      <c r="G7" s="24" t="s">
        <v>1065</v>
      </c>
      <c r="H7" s="24" t="s">
        <v>1065</v>
      </c>
      <c r="I7" s="24" t="s">
        <v>1065</v>
      </c>
      <c r="J7" t="s">
        <v>1063</v>
      </c>
      <c r="K7" t="s">
        <v>1065</v>
      </c>
      <c r="L7" t="s">
        <v>1064</v>
      </c>
    </row>
    <row r="8" spans="1:12" x14ac:dyDescent="0.25">
      <c r="G8" s="24" t="s">
        <v>1066</v>
      </c>
      <c r="H8" s="24" t="s">
        <v>1066</v>
      </c>
      <c r="I8" s="24" t="s">
        <v>1067</v>
      </c>
      <c r="J8" t="s">
        <v>1063</v>
      </c>
      <c r="K8" s="24" t="s">
        <v>1068</v>
      </c>
      <c r="L8" t="s">
        <v>1064</v>
      </c>
    </row>
    <row r="9" spans="1:12" x14ac:dyDescent="0.25">
      <c r="A9" s="23" t="s">
        <v>1069</v>
      </c>
      <c r="B9" s="23" t="s">
        <v>1070</v>
      </c>
      <c r="C9" s="23" t="s">
        <v>1071</v>
      </c>
      <c r="D9" s="23" t="s">
        <v>1072</v>
      </c>
      <c r="E9" s="23" t="s">
        <v>906</v>
      </c>
      <c r="F9" s="23" t="s">
        <v>1073</v>
      </c>
      <c r="G9" s="23" t="s">
        <v>1069</v>
      </c>
      <c r="I9" s="24" t="s">
        <v>1069</v>
      </c>
      <c r="J9" t="s">
        <v>1063</v>
      </c>
      <c r="K9" s="24" t="s">
        <v>1074</v>
      </c>
      <c r="L9" t="s">
        <v>1064</v>
      </c>
    </row>
    <row r="10" spans="1:12" x14ac:dyDescent="0.25">
      <c r="A10" s="23" t="s">
        <v>1075</v>
      </c>
      <c r="B10" s="23"/>
      <c r="G10" s="23" t="s">
        <v>1075</v>
      </c>
      <c r="I10" s="24" t="s">
        <v>1076</v>
      </c>
      <c r="J10" t="s">
        <v>1077</v>
      </c>
      <c r="K10" s="24" t="s">
        <v>1078</v>
      </c>
      <c r="L10" t="s">
        <v>1064</v>
      </c>
    </row>
    <row r="11" spans="1:12" x14ac:dyDescent="0.25">
      <c r="A11" s="23"/>
      <c r="B11" s="23"/>
      <c r="G11" s="23" t="s">
        <v>1079</v>
      </c>
      <c r="I11" s="12" t="s">
        <v>1079</v>
      </c>
      <c r="K11" s="24"/>
    </row>
    <row r="12" spans="1:12" x14ac:dyDescent="0.25">
      <c r="A12" s="23" t="s">
        <v>1080</v>
      </c>
      <c r="B12" s="23"/>
      <c r="G12" s="23" t="s">
        <v>1080</v>
      </c>
      <c r="I12" t="s">
        <v>1080</v>
      </c>
      <c r="K12" s="24" t="s">
        <v>1081</v>
      </c>
      <c r="L12" t="s">
        <v>1064</v>
      </c>
    </row>
    <row r="13" spans="1:12" x14ac:dyDescent="0.25">
      <c r="A13" s="23"/>
      <c r="B13" s="23"/>
      <c r="G13" s="23" t="s">
        <v>1082</v>
      </c>
      <c r="I13" t="s">
        <v>1082</v>
      </c>
      <c r="K13" s="24"/>
    </row>
    <row r="14" spans="1:12" x14ac:dyDescent="0.25">
      <c r="A14" s="23" t="s">
        <v>1083</v>
      </c>
      <c r="B14" s="23"/>
      <c r="G14" s="23" t="s">
        <v>1083</v>
      </c>
      <c r="I14" t="s">
        <v>1083</v>
      </c>
    </row>
    <row r="15" spans="1:12" x14ac:dyDescent="0.25">
      <c r="A15" s="23" t="s">
        <v>1084</v>
      </c>
      <c r="B15" s="23"/>
      <c r="G15" s="23" t="s">
        <v>1084</v>
      </c>
      <c r="I15" t="s">
        <v>1084</v>
      </c>
    </row>
    <row r="16" spans="1:12" x14ac:dyDescent="0.25">
      <c r="A16" s="23" t="s">
        <v>1085</v>
      </c>
      <c r="B16" s="23"/>
      <c r="G16" s="23" t="s">
        <v>1085</v>
      </c>
      <c r="I16" t="s">
        <v>1085</v>
      </c>
    </row>
    <row r="17" spans="1:10" x14ac:dyDescent="0.25">
      <c r="A17" s="23" t="s">
        <v>1086</v>
      </c>
      <c r="B17" s="23"/>
      <c r="G17" s="23" t="s">
        <v>1086</v>
      </c>
      <c r="I17" t="s">
        <v>1086</v>
      </c>
    </row>
    <row r="18" spans="1:10" x14ac:dyDescent="0.25">
      <c r="A18" s="23" t="s">
        <v>4389</v>
      </c>
      <c r="B18" s="23"/>
      <c r="G18" s="23" t="s">
        <v>4389</v>
      </c>
      <c r="I18" t="s">
        <v>4389</v>
      </c>
    </row>
    <row r="19" spans="1:10" x14ac:dyDescent="0.25">
      <c r="A19" s="23" t="s">
        <v>4390</v>
      </c>
      <c r="B19" s="23"/>
      <c r="G19" s="23" t="s">
        <v>4390</v>
      </c>
      <c r="I19" t="s">
        <v>4390</v>
      </c>
    </row>
    <row r="20" spans="1:10" x14ac:dyDescent="0.25">
      <c r="A20" s="23" t="s">
        <v>4393</v>
      </c>
      <c r="B20" s="23"/>
      <c r="G20" s="23" t="s">
        <v>4393</v>
      </c>
      <c r="I20" t="s">
        <v>4393</v>
      </c>
    </row>
    <row r="21" spans="1:10" x14ac:dyDescent="0.25">
      <c r="A21" s="23" t="s">
        <v>1087</v>
      </c>
      <c r="B21" s="23"/>
      <c r="G21" s="23" t="s">
        <v>1087</v>
      </c>
      <c r="I21" t="s">
        <v>1087</v>
      </c>
      <c r="J21" s="3"/>
    </row>
    <row r="22" spans="1:10" x14ac:dyDescent="0.25">
      <c r="A22" s="23" t="s">
        <v>1088</v>
      </c>
      <c r="B22" s="23"/>
      <c r="G22" s="23" t="s">
        <v>1088</v>
      </c>
      <c r="I22" s="3" t="s">
        <v>1088</v>
      </c>
      <c r="J22" s="3"/>
    </row>
    <row r="23" spans="1:10" x14ac:dyDescent="0.25">
      <c r="A23" s="23" t="s">
        <v>1089</v>
      </c>
      <c r="B23" s="23"/>
      <c r="G23" s="23" t="s">
        <v>1089</v>
      </c>
      <c r="I23" s="3" t="s">
        <v>1089</v>
      </c>
      <c r="J23" s="3"/>
    </row>
    <row r="24" spans="1:10" x14ac:dyDescent="0.25">
      <c r="A24" s="23" t="s">
        <v>1090</v>
      </c>
      <c r="B24" s="23"/>
      <c r="G24" s="23" t="s">
        <v>1090</v>
      </c>
      <c r="I24" s="3" t="s">
        <v>1090</v>
      </c>
      <c r="J24" s="3"/>
    </row>
    <row r="25" spans="1:10" x14ac:dyDescent="0.25">
      <c r="A25" s="23" t="s">
        <v>1091</v>
      </c>
      <c r="B25" s="23"/>
      <c r="G25" s="23" t="s">
        <v>1091</v>
      </c>
      <c r="I25" s="3" t="s">
        <v>1091</v>
      </c>
      <c r="J25" s="3"/>
    </row>
    <row r="26" spans="1:10" x14ac:dyDescent="0.25">
      <c r="A26" s="23" t="s">
        <v>1092</v>
      </c>
      <c r="B26" s="23"/>
      <c r="G26" s="23" t="s">
        <v>1092</v>
      </c>
      <c r="I26" s="3" t="s">
        <v>1092</v>
      </c>
      <c r="J26" s="3"/>
    </row>
    <row r="27" spans="1:10" x14ac:dyDescent="0.25">
      <c r="A27" s="23" t="s">
        <v>1093</v>
      </c>
      <c r="B27" s="23"/>
      <c r="G27" s="23" t="s">
        <v>1093</v>
      </c>
      <c r="I27" s="3" t="s">
        <v>1093</v>
      </c>
      <c r="J27" s="3"/>
    </row>
    <row r="28" spans="1:10" x14ac:dyDescent="0.25">
      <c r="A28" s="23" t="s">
        <v>1094</v>
      </c>
      <c r="B28" s="23"/>
      <c r="G28" s="23" t="s">
        <v>1094</v>
      </c>
      <c r="I28" s="38" t="s">
        <v>1094</v>
      </c>
      <c r="J28" s="38"/>
    </row>
    <row r="29" spans="1:10" x14ac:dyDescent="0.25">
      <c r="A29" s="23" t="s">
        <v>1095</v>
      </c>
      <c r="B29" s="23"/>
      <c r="G29" s="23" t="s">
        <v>1095</v>
      </c>
      <c r="I29" t="s">
        <v>1095</v>
      </c>
    </row>
    <row r="30" spans="1:10" x14ac:dyDescent="0.25">
      <c r="A30" s="23" t="s">
        <v>1096</v>
      </c>
      <c r="B30" s="23"/>
      <c r="G30" s="23" t="s">
        <v>1096</v>
      </c>
      <c r="I30" s="3" t="s">
        <v>1097</v>
      </c>
      <c r="J30" s="3"/>
    </row>
    <row r="31" spans="1:10" x14ac:dyDescent="0.25">
      <c r="A31" s="23" t="s">
        <v>1098</v>
      </c>
      <c r="B31" s="23"/>
      <c r="G31" s="23" t="s">
        <v>1098</v>
      </c>
      <c r="I31" s="3" t="s">
        <v>1098</v>
      </c>
      <c r="J31" s="3"/>
    </row>
    <row r="32" spans="1:10" x14ac:dyDescent="0.25">
      <c r="A32" s="23" t="s">
        <v>1099</v>
      </c>
      <c r="B32" s="23"/>
      <c r="G32" s="23" t="s">
        <v>1099</v>
      </c>
      <c r="I32" s="3" t="s">
        <v>1099</v>
      </c>
      <c r="J32" s="3"/>
    </row>
    <row r="33" spans="1:10" x14ac:dyDescent="0.25">
      <c r="A33" s="23" t="s">
        <v>1100</v>
      </c>
      <c r="B33" s="23"/>
      <c r="G33" s="23" t="s">
        <v>1100</v>
      </c>
      <c r="I33" s="3" t="s">
        <v>1100</v>
      </c>
      <c r="J33" s="3"/>
    </row>
    <row r="34" spans="1:10" x14ac:dyDescent="0.25">
      <c r="A34" s="23" t="s">
        <v>1101</v>
      </c>
      <c r="B34" s="23"/>
      <c r="G34" s="23" t="s">
        <v>1101</v>
      </c>
      <c r="I34" t="s">
        <v>1101</v>
      </c>
    </row>
    <row r="35" spans="1:10" x14ac:dyDescent="0.25">
      <c r="A35" s="23" t="s">
        <v>1102</v>
      </c>
      <c r="B35" s="23"/>
      <c r="G35" s="23" t="s">
        <v>1102</v>
      </c>
      <c r="I35" s="3" t="s">
        <v>1102</v>
      </c>
      <c r="J35" s="3"/>
    </row>
    <row r="36" spans="1:10" x14ac:dyDescent="0.25">
      <c r="A36" s="23" t="s">
        <v>5089</v>
      </c>
      <c r="B36" s="23"/>
      <c r="G36" s="23" t="s">
        <v>5089</v>
      </c>
      <c r="I36" s="3" t="s">
        <v>5089</v>
      </c>
      <c r="J36" s="3"/>
    </row>
    <row r="37" spans="1:10" x14ac:dyDescent="0.25">
      <c r="A37" s="23" t="s">
        <v>5090</v>
      </c>
      <c r="B37" s="23"/>
      <c r="G37" s="23" t="s">
        <v>5090</v>
      </c>
      <c r="I37" s="3" t="s">
        <v>5090</v>
      </c>
      <c r="J37" s="3"/>
    </row>
    <row r="38" spans="1:10" x14ac:dyDescent="0.25">
      <c r="A38" s="23" t="s">
        <v>1103</v>
      </c>
      <c r="B38" s="23"/>
      <c r="G38" s="23" t="s">
        <v>1103</v>
      </c>
      <c r="I38" s="3" t="s">
        <v>1103</v>
      </c>
      <c r="J38" s="3"/>
    </row>
    <row r="39" spans="1:10" x14ac:dyDescent="0.25">
      <c r="A39" s="23" t="s">
        <v>1104</v>
      </c>
      <c r="B39" s="23"/>
      <c r="G39" s="23" t="s">
        <v>1104</v>
      </c>
      <c r="I39" s="3" t="s">
        <v>1104</v>
      </c>
      <c r="J39" s="3"/>
    </row>
    <row r="40" spans="1:10" x14ac:dyDescent="0.25">
      <c r="A40" s="23" t="s">
        <v>1105</v>
      </c>
      <c r="B40" s="23"/>
      <c r="G40" s="23" t="s">
        <v>1105</v>
      </c>
      <c r="I40" s="3" t="s">
        <v>1105</v>
      </c>
      <c r="J40" s="3"/>
    </row>
    <row r="41" spans="1:10" x14ac:dyDescent="0.25">
      <c r="A41" s="23" t="s">
        <v>1106</v>
      </c>
      <c r="B41" s="23"/>
      <c r="G41" s="23" t="s">
        <v>1106</v>
      </c>
      <c r="I41" s="3" t="s">
        <v>1106</v>
      </c>
      <c r="J41" s="3"/>
    </row>
    <row r="42" spans="1:10" x14ac:dyDescent="0.25">
      <c r="A42" s="23" t="s">
        <v>1107</v>
      </c>
      <c r="B42" s="23"/>
      <c r="G42" s="23" t="s">
        <v>1107</v>
      </c>
      <c r="I42" s="3" t="s">
        <v>1107</v>
      </c>
      <c r="J42" s="3"/>
    </row>
    <row r="43" spans="1:10" x14ac:dyDescent="0.25">
      <c r="A43" s="23" t="s">
        <v>1108</v>
      </c>
      <c r="B43" s="23"/>
      <c r="G43" s="23" t="s">
        <v>1108</v>
      </c>
      <c r="I43" s="3" t="s">
        <v>1108</v>
      </c>
      <c r="J43" s="3"/>
    </row>
    <row r="44" spans="1:10" x14ac:dyDescent="0.25">
      <c r="A44" s="23" t="s">
        <v>1109</v>
      </c>
      <c r="B44" s="23"/>
      <c r="G44" s="23" t="s">
        <v>1109</v>
      </c>
      <c r="I44" s="3" t="s">
        <v>1109</v>
      </c>
      <c r="J44" s="3"/>
    </row>
    <row r="45" spans="1:10" x14ac:dyDescent="0.25">
      <c r="A45" s="23" t="s">
        <v>1110</v>
      </c>
      <c r="B45" s="23"/>
      <c r="G45" s="23" t="s">
        <v>1110</v>
      </c>
      <c r="I45" s="3" t="s">
        <v>1110</v>
      </c>
      <c r="J45" s="3"/>
    </row>
    <row r="46" spans="1:10" x14ac:dyDescent="0.25">
      <c r="A46" s="23" t="s">
        <v>1111</v>
      </c>
      <c r="B46" s="23"/>
      <c r="G46" s="23" t="s">
        <v>1111</v>
      </c>
      <c r="I46" s="3" t="s">
        <v>1111</v>
      </c>
      <c r="J46" s="3"/>
    </row>
    <row r="47" spans="1:10" x14ac:dyDescent="0.25">
      <c r="A47" s="23" t="s">
        <v>1112</v>
      </c>
      <c r="B47" s="23"/>
      <c r="G47" s="23" t="s">
        <v>1112</v>
      </c>
      <c r="I47" s="3" t="s">
        <v>1112</v>
      </c>
      <c r="J47" s="3"/>
    </row>
    <row r="48" spans="1:10" x14ac:dyDescent="0.25">
      <c r="A48" s="23" t="s">
        <v>1113</v>
      </c>
      <c r="B48" s="23"/>
      <c r="G48" s="23" t="s">
        <v>1113</v>
      </c>
      <c r="I48" s="3" t="s">
        <v>1113</v>
      </c>
      <c r="J48" s="3"/>
    </row>
    <row r="49" spans="1:11" x14ac:dyDescent="0.25">
      <c r="A49" s="23" t="s">
        <v>1114</v>
      </c>
      <c r="B49" s="23"/>
      <c r="G49" s="23" t="s">
        <v>1114</v>
      </c>
      <c r="I49" s="3" t="s">
        <v>1114</v>
      </c>
      <c r="J49" s="3"/>
    </row>
    <row r="50" spans="1:11" x14ac:dyDescent="0.25">
      <c r="A50" s="23" t="s">
        <v>1115</v>
      </c>
      <c r="B50" s="23"/>
      <c r="G50" s="23" t="s">
        <v>1115</v>
      </c>
      <c r="I50" s="3" t="s">
        <v>1115</v>
      </c>
      <c r="J50" s="3"/>
    </row>
    <row r="51" spans="1:11" x14ac:dyDescent="0.25">
      <c r="A51" s="23" t="s">
        <v>1116</v>
      </c>
      <c r="B51" s="23"/>
      <c r="G51" s="23" t="s">
        <v>1116</v>
      </c>
      <c r="I51" s="3" t="s">
        <v>1116</v>
      </c>
      <c r="J51" s="3"/>
    </row>
    <row r="52" spans="1:11" x14ac:dyDescent="0.25">
      <c r="A52" s="23" t="s">
        <v>1117</v>
      </c>
      <c r="B52" s="23"/>
      <c r="G52" s="23" t="s">
        <v>1117</v>
      </c>
      <c r="I52" s="3" t="s">
        <v>1117</v>
      </c>
      <c r="J52" s="3"/>
    </row>
    <row r="53" spans="1:11" x14ac:dyDescent="0.25">
      <c r="A53" s="23" t="s">
        <v>1118</v>
      </c>
      <c r="B53" s="23"/>
      <c r="G53" s="23" t="s">
        <v>1118</v>
      </c>
      <c r="I53" s="3" t="s">
        <v>1118</v>
      </c>
      <c r="J53" s="3"/>
    </row>
    <row r="54" spans="1:11" x14ac:dyDescent="0.25">
      <c r="A54" s="23" t="s">
        <v>1119</v>
      </c>
      <c r="B54" s="23"/>
      <c r="G54" s="23" t="s">
        <v>1119</v>
      </c>
      <c r="I54" s="3" t="s">
        <v>1119</v>
      </c>
      <c r="J54" s="3"/>
    </row>
    <row r="55" spans="1:11" x14ac:dyDescent="0.25">
      <c r="A55" s="23" t="s">
        <v>1120</v>
      </c>
      <c r="B55" s="23"/>
      <c r="G55" s="23" t="s">
        <v>1120</v>
      </c>
      <c r="I55" s="3" t="s">
        <v>1120</v>
      </c>
      <c r="J55" s="3"/>
    </row>
    <row r="56" spans="1:11" x14ac:dyDescent="0.25">
      <c r="A56" s="23" t="s">
        <v>1121</v>
      </c>
      <c r="B56" s="23"/>
      <c r="G56" s="23" t="s">
        <v>1121</v>
      </c>
      <c r="I56" s="3" t="s">
        <v>1121</v>
      </c>
      <c r="J56" s="3"/>
    </row>
    <row r="57" spans="1:11" x14ac:dyDescent="0.25">
      <c r="A57" s="23" t="s">
        <v>1122</v>
      </c>
      <c r="B57" s="23"/>
      <c r="G57" s="23" t="s">
        <v>1122</v>
      </c>
      <c r="I57" s="3" t="s">
        <v>1122</v>
      </c>
      <c r="J57" s="3"/>
    </row>
    <row r="58" spans="1:11" x14ac:dyDescent="0.25">
      <c r="A58" s="23" t="s">
        <v>1123</v>
      </c>
      <c r="B58" s="23"/>
      <c r="D58" s="23" t="s">
        <v>1124</v>
      </c>
      <c r="G58" s="23" t="s">
        <v>1123</v>
      </c>
      <c r="I58" s="3" t="s">
        <v>1123</v>
      </c>
      <c r="J58" s="3"/>
    </row>
    <row r="59" spans="1:11" x14ac:dyDescent="0.25">
      <c r="A59" s="13"/>
      <c r="B59" s="13"/>
      <c r="C59" s="12"/>
      <c r="D59" s="13"/>
      <c r="E59" s="12"/>
      <c r="F59" s="12"/>
      <c r="G59" s="13"/>
      <c r="H59" s="12"/>
      <c r="I59" s="13"/>
      <c r="J59" s="13"/>
      <c r="K59" s="12"/>
    </row>
    <row r="60" spans="1:11" x14ac:dyDescent="0.25">
      <c r="A60" s="13"/>
      <c r="B60" s="19" t="s">
        <v>1070</v>
      </c>
      <c r="C60" s="20" t="s">
        <v>1125</v>
      </c>
      <c r="D60" s="19"/>
      <c r="E60" s="20" t="s">
        <v>1126</v>
      </c>
      <c r="F60" s="19" t="s">
        <v>1127</v>
      </c>
      <c r="G60" s="13"/>
      <c r="H60" s="12"/>
      <c r="I60" s="13"/>
      <c r="J60" s="13"/>
      <c r="K60" s="12"/>
    </row>
    <row r="61" spans="1:11" x14ac:dyDescent="0.25">
      <c r="A61" s="13"/>
      <c r="B61" s="13"/>
      <c r="C61" s="12"/>
      <c r="D61" s="13"/>
      <c r="E61" s="12"/>
      <c r="F61" s="12"/>
      <c r="G61" s="13"/>
      <c r="H61" s="12"/>
      <c r="I61" s="13"/>
      <c r="J61" s="13"/>
      <c r="K61" s="12"/>
    </row>
    <row r="62" spans="1:11" x14ac:dyDescent="0.25">
      <c r="A62" s="36" t="s">
        <v>1068</v>
      </c>
      <c r="B62" s="36">
        <v>1</v>
      </c>
      <c r="C62" s="14" t="s">
        <v>1128</v>
      </c>
      <c r="D62" s="14" t="s">
        <v>1129</v>
      </c>
      <c r="E62" s="36" t="s">
        <v>1130</v>
      </c>
      <c r="F62" s="36" t="s">
        <v>1131</v>
      </c>
      <c r="G62" s="36" t="s">
        <v>1068</v>
      </c>
      <c r="I62" s="12" t="s">
        <v>1068</v>
      </c>
      <c r="J62" s="12"/>
    </row>
    <row r="63" spans="1:11" x14ac:dyDescent="0.25">
      <c r="A63" s="36" t="s">
        <v>50</v>
      </c>
      <c r="B63" s="36"/>
      <c r="E63" s="36"/>
      <c r="F63" s="36" t="s">
        <v>1132</v>
      </c>
      <c r="G63" s="36" t="s">
        <v>50</v>
      </c>
      <c r="I63" s="12" t="s">
        <v>50</v>
      </c>
      <c r="J63" s="12"/>
    </row>
    <row r="64" spans="1:11" x14ac:dyDescent="0.25">
      <c r="A64" s="36" t="s">
        <v>1078</v>
      </c>
      <c r="B64" s="36"/>
      <c r="E64" s="36"/>
      <c r="F64" s="36" t="s">
        <v>1133</v>
      </c>
      <c r="G64" s="36" t="s">
        <v>1078</v>
      </c>
      <c r="I64" s="24" t="s">
        <v>1078</v>
      </c>
      <c r="J64" t="s">
        <v>1134</v>
      </c>
    </row>
    <row r="65" spans="1:17" x14ac:dyDescent="0.25">
      <c r="A65" s="36" t="s">
        <v>1081</v>
      </c>
      <c r="B65" s="36"/>
      <c r="E65" s="36"/>
      <c r="F65" s="36" t="s">
        <v>1135</v>
      </c>
      <c r="G65" s="36" t="s">
        <v>1081</v>
      </c>
      <c r="I65" s="24" t="s">
        <v>1081</v>
      </c>
      <c r="J65" s="12" t="s">
        <v>1136</v>
      </c>
    </row>
    <row r="66" spans="1:17" x14ac:dyDescent="0.25">
      <c r="A66" s="36" t="s">
        <v>1137</v>
      </c>
      <c r="B66" s="36"/>
      <c r="E66" s="36"/>
      <c r="F66" s="36" t="s">
        <v>1138</v>
      </c>
      <c r="G66" s="36" t="s">
        <v>1137</v>
      </c>
      <c r="I66" s="24" t="s">
        <v>1137</v>
      </c>
      <c r="J66" t="s">
        <v>1139</v>
      </c>
    </row>
    <row r="67" spans="1:17" x14ac:dyDescent="0.25">
      <c r="A67" s="36" t="s">
        <v>1140</v>
      </c>
      <c r="B67" s="36"/>
      <c r="E67" s="36"/>
      <c r="F67" s="36" t="s">
        <v>1141</v>
      </c>
      <c r="G67" s="36" t="s">
        <v>1140</v>
      </c>
      <c r="I67" s="12" t="s">
        <v>1140</v>
      </c>
      <c r="J67" s="12"/>
    </row>
    <row r="68" spans="1:17" x14ac:dyDescent="0.25">
      <c r="A68" s="36" t="s">
        <v>1142</v>
      </c>
      <c r="B68" s="36"/>
      <c r="E68" s="36"/>
      <c r="F68" s="36" t="s">
        <v>1143</v>
      </c>
      <c r="G68" s="36" t="s">
        <v>1142</v>
      </c>
      <c r="I68" s="12" t="s">
        <v>1142</v>
      </c>
      <c r="J68" s="12"/>
    </row>
    <row r="69" spans="1:17" x14ac:dyDescent="0.25">
      <c r="A69" s="36" t="s">
        <v>1074</v>
      </c>
      <c r="B69" s="36"/>
      <c r="E69" s="36"/>
      <c r="F69" s="36" t="s">
        <v>1144</v>
      </c>
      <c r="G69" s="36" t="s">
        <v>1074</v>
      </c>
      <c r="I69" s="24" t="s">
        <v>1074</v>
      </c>
      <c r="J69" t="s">
        <v>1139</v>
      </c>
    </row>
    <row r="70" spans="1:17" x14ac:dyDescent="0.25">
      <c r="A70" s="36" t="s">
        <v>30</v>
      </c>
      <c r="B70" s="36"/>
      <c r="E70" s="36"/>
      <c r="F70" s="36" t="s">
        <v>1145</v>
      </c>
      <c r="G70" s="36" t="s">
        <v>30</v>
      </c>
      <c r="I70" s="12" t="s">
        <v>30</v>
      </c>
      <c r="J70" s="12"/>
    </row>
    <row r="71" spans="1:17" x14ac:dyDescent="0.25">
      <c r="A71" s="36" t="s">
        <v>1146</v>
      </c>
      <c r="B71" s="36"/>
      <c r="E71" s="36"/>
      <c r="F71" s="36" t="s">
        <v>1147</v>
      </c>
      <c r="G71" s="36" t="s">
        <v>1146</v>
      </c>
      <c r="I71" s="12" t="s">
        <v>1146</v>
      </c>
      <c r="J71" s="12"/>
    </row>
    <row r="72" spans="1:17" x14ac:dyDescent="0.25">
      <c r="A72" s="36" t="s">
        <v>1148</v>
      </c>
      <c r="B72" s="36"/>
      <c r="E72" s="36"/>
      <c r="F72" s="36" t="s">
        <v>1149</v>
      </c>
      <c r="G72" s="36" t="s">
        <v>1148</v>
      </c>
      <c r="I72" s="24" t="s">
        <v>1150</v>
      </c>
      <c r="J72" t="s">
        <v>1139</v>
      </c>
    </row>
    <row r="73" spans="1:17" x14ac:dyDescent="0.25">
      <c r="A73" s="36" t="s">
        <v>1151</v>
      </c>
      <c r="B73" s="36"/>
      <c r="E73" s="36"/>
      <c r="F73" s="36" t="s">
        <v>1152</v>
      </c>
      <c r="G73" s="36" t="s">
        <v>1151</v>
      </c>
      <c r="I73" s="12" t="s">
        <v>1153</v>
      </c>
      <c r="J73" s="12"/>
    </row>
    <row r="74" spans="1:17" x14ac:dyDescent="0.25">
      <c r="A74" s="36" t="s">
        <v>1154</v>
      </c>
      <c r="B74" s="36"/>
      <c r="E74" s="36"/>
      <c r="F74" s="36" t="s">
        <v>1155</v>
      </c>
      <c r="G74" s="36" t="s">
        <v>1154</v>
      </c>
      <c r="I74" s="12" t="s">
        <v>1156</v>
      </c>
      <c r="J74" s="12"/>
    </row>
    <row r="75" spans="1:17" x14ac:dyDescent="0.25">
      <c r="A75" s="36" t="s">
        <v>1157</v>
      </c>
      <c r="B75" s="36"/>
      <c r="E75" s="36"/>
      <c r="F75" s="36" t="s">
        <v>1158</v>
      </c>
      <c r="G75" s="36" t="s">
        <v>1157</v>
      </c>
      <c r="I75" s="12" t="s">
        <v>1159</v>
      </c>
      <c r="J75" s="12"/>
    </row>
    <row r="76" spans="1:17" x14ac:dyDescent="0.25">
      <c r="A76" s="36" t="s">
        <v>1160</v>
      </c>
      <c r="B76" s="36"/>
      <c r="E76" s="36"/>
      <c r="F76" s="36" t="s">
        <v>1161</v>
      </c>
      <c r="G76" s="36" t="s">
        <v>1160</v>
      </c>
      <c r="I76" s="12" t="s">
        <v>1162</v>
      </c>
      <c r="J76" s="12"/>
    </row>
    <row r="77" spans="1:17" x14ac:dyDescent="0.25">
      <c r="A77" s="36" t="s">
        <v>1163</v>
      </c>
      <c r="B77" s="36"/>
      <c r="E77" s="36"/>
      <c r="F77" s="36" t="s">
        <v>1164</v>
      </c>
      <c r="G77" s="36" t="s">
        <v>1163</v>
      </c>
      <c r="H77" s="12"/>
      <c r="I77" s="12" t="s">
        <v>1165</v>
      </c>
      <c r="J77" s="12"/>
    </row>
    <row r="78" spans="1:17" x14ac:dyDescent="0.25">
      <c r="A78" s="39" t="s">
        <v>1166</v>
      </c>
      <c r="B78" s="39">
        <v>2</v>
      </c>
      <c r="C78" s="39" t="s">
        <v>1167</v>
      </c>
      <c r="D78" s="39"/>
      <c r="E78" s="39" t="s">
        <v>1168</v>
      </c>
      <c r="F78" s="39" t="s">
        <v>1169</v>
      </c>
      <c r="G78" s="39" t="s">
        <v>1166</v>
      </c>
      <c r="H78" s="12"/>
      <c r="I78" s="12" t="s">
        <v>1170</v>
      </c>
      <c r="J78" s="12"/>
      <c r="Q78" s="39" t="s">
        <v>1171</v>
      </c>
    </row>
    <row r="79" spans="1:17" x14ac:dyDescent="0.25">
      <c r="A79" s="39" t="s">
        <v>1172</v>
      </c>
      <c r="F79" s="39"/>
      <c r="G79" s="39" t="s">
        <v>1172</v>
      </c>
      <c r="H79" s="12"/>
      <c r="I79" s="12" t="s">
        <v>1173</v>
      </c>
      <c r="J79" s="12"/>
    </row>
    <row r="80" spans="1:17" x14ac:dyDescent="0.25">
      <c r="A80" s="39" t="s">
        <v>1174</v>
      </c>
      <c r="F80" s="39"/>
      <c r="G80" s="39" t="s">
        <v>1174</v>
      </c>
      <c r="H80" s="12"/>
      <c r="I80" t="s">
        <v>1175</v>
      </c>
      <c r="J80" s="12"/>
    </row>
    <row r="81" spans="1:17" x14ac:dyDescent="0.25">
      <c r="A81" s="40" t="s">
        <v>1176</v>
      </c>
      <c r="B81" s="40">
        <v>3</v>
      </c>
      <c r="C81" s="40" t="s">
        <v>1177</v>
      </c>
      <c r="D81" s="40"/>
      <c r="E81" s="40" t="s">
        <v>1178</v>
      </c>
      <c r="F81" s="40" t="s">
        <v>1179</v>
      </c>
      <c r="G81" s="40"/>
      <c r="K81" s="24" t="s">
        <v>1180</v>
      </c>
      <c r="L81" t="s">
        <v>1064</v>
      </c>
      <c r="Q81" s="40" t="s">
        <v>1181</v>
      </c>
    </row>
    <row r="82" spans="1:17" x14ac:dyDescent="0.25">
      <c r="A82" s="40" t="s">
        <v>1027</v>
      </c>
      <c r="F82" s="40" t="s">
        <v>1182</v>
      </c>
      <c r="H82" s="12"/>
      <c r="I82" s="12"/>
      <c r="J82" s="12"/>
      <c r="K82" s="24" t="s">
        <v>1027</v>
      </c>
      <c r="L82" t="s">
        <v>1183</v>
      </c>
      <c r="Q82" s="40" t="s">
        <v>1184</v>
      </c>
    </row>
    <row r="83" spans="1:17" x14ac:dyDescent="0.25">
      <c r="A83" s="40" t="s">
        <v>1185</v>
      </c>
      <c r="K83" s="22" t="s">
        <v>1185</v>
      </c>
      <c r="L83" t="s">
        <v>1183</v>
      </c>
    </row>
    <row r="84" spans="1:17" x14ac:dyDescent="0.25">
      <c r="A84" s="40" t="s">
        <v>1186</v>
      </c>
      <c r="K84" t="s">
        <v>1186</v>
      </c>
    </row>
    <row r="85" spans="1:17" x14ac:dyDescent="0.25">
      <c r="A85" s="40" t="s">
        <v>1187</v>
      </c>
      <c r="K85" t="s">
        <v>1187</v>
      </c>
    </row>
    <row r="86" spans="1:17" x14ac:dyDescent="0.25">
      <c r="A86" s="40" t="s">
        <v>1188</v>
      </c>
      <c r="K86" s="24" t="s">
        <v>1188</v>
      </c>
      <c r="L86" t="s">
        <v>1183</v>
      </c>
    </row>
    <row r="87" spans="1:17" x14ac:dyDescent="0.25">
      <c r="A87" s="40" t="s">
        <v>1189</v>
      </c>
      <c r="K87" s="24" t="s">
        <v>1189</v>
      </c>
      <c r="L87" t="s">
        <v>1183</v>
      </c>
    </row>
    <row r="88" spans="1:17" x14ac:dyDescent="0.25">
      <c r="A88" s="40" t="s">
        <v>1190</v>
      </c>
      <c r="K88" t="s">
        <v>1190</v>
      </c>
    </row>
    <row r="89" spans="1:17" x14ac:dyDescent="0.25">
      <c r="A89" s="40" t="s">
        <v>1191</v>
      </c>
      <c r="K89" s="24" t="s">
        <v>1192</v>
      </c>
      <c r="L89" t="s">
        <v>1193</v>
      </c>
    </row>
    <row r="90" spans="1:17" x14ac:dyDescent="0.25">
      <c r="A90" s="40" t="s">
        <v>1194</v>
      </c>
      <c r="K90" t="s">
        <v>1195</v>
      </c>
    </row>
    <row r="91" spans="1:17" x14ac:dyDescent="0.25">
      <c r="A91" s="40" t="s">
        <v>1196</v>
      </c>
      <c r="K91" t="s">
        <v>1196</v>
      </c>
    </row>
    <row r="92" spans="1:17" x14ac:dyDescent="0.25">
      <c r="A92" s="40" t="s">
        <v>1197</v>
      </c>
      <c r="K92" t="s">
        <v>1197</v>
      </c>
    </row>
    <row r="93" spans="1:17" x14ac:dyDescent="0.25">
      <c r="D93" s="14" t="s">
        <v>1198</v>
      </c>
    </row>
    <row r="97" spans="2:6" x14ac:dyDescent="0.25">
      <c r="B97" s="20">
        <v>4</v>
      </c>
      <c r="C97" s="20" t="s">
        <v>1055</v>
      </c>
      <c r="D97" s="20" t="s">
        <v>1057</v>
      </c>
      <c r="E97" s="20" t="s">
        <v>1056</v>
      </c>
      <c r="F97" s="20" t="s">
        <v>1057</v>
      </c>
    </row>
  </sheetData>
  <hyperlinks>
    <hyperlink ref="A1" location="contents!A1" display="Contents" xr:uid="{00000000-0004-0000-0600-000000000000}"/>
  </hyperlink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1"/>
  <sheetViews>
    <sheetView zoomScaleNormal="100" workbookViewId="0">
      <selection activeCell="D45" sqref="D45"/>
    </sheetView>
  </sheetViews>
  <sheetFormatPr defaultColWidth="9.140625" defaultRowHeight="15" x14ac:dyDescent="0.25"/>
  <cols>
    <col min="1" max="1" width="33.85546875" customWidth="1"/>
    <col min="2" max="2" width="18.42578125" customWidth="1"/>
    <col min="3" max="3" width="27.28515625" customWidth="1"/>
    <col min="4" max="4" width="37.42578125" customWidth="1"/>
    <col min="5" max="5" width="54.7109375" customWidth="1"/>
    <col min="6" max="6" width="91.28515625" customWidth="1"/>
    <col min="7" max="7" width="34" customWidth="1"/>
    <col min="8" max="8" width="27.140625" customWidth="1"/>
    <col min="9" max="9" width="22.42578125" customWidth="1"/>
  </cols>
  <sheetData>
    <row r="1" spans="1:9" x14ac:dyDescent="0.25">
      <c r="A1" s="2" t="s">
        <v>0</v>
      </c>
      <c r="B1" s="2" t="s">
        <v>0</v>
      </c>
      <c r="C1" s="2" t="s">
        <v>0</v>
      </c>
      <c r="D1" s="2" t="s">
        <v>0</v>
      </c>
      <c r="E1" s="2" t="s">
        <v>0</v>
      </c>
      <c r="F1" s="2" t="s">
        <v>0</v>
      </c>
      <c r="G1" s="2" t="s">
        <v>0</v>
      </c>
      <c r="H1" s="2" t="s">
        <v>0</v>
      </c>
      <c r="I1" s="2" t="s">
        <v>0</v>
      </c>
    </row>
    <row r="2" spans="1:9" x14ac:dyDescent="0.25">
      <c r="A2" s="1" t="s">
        <v>13</v>
      </c>
    </row>
    <row r="3" spans="1:9" x14ac:dyDescent="0.25">
      <c r="A3" s="1" t="s">
        <v>884</v>
      </c>
      <c r="B3" s="1" t="s">
        <v>885</v>
      </c>
      <c r="C3" s="1" t="s">
        <v>886</v>
      </c>
      <c r="D3" s="1" t="s">
        <v>887</v>
      </c>
      <c r="E3" s="1" t="s">
        <v>888</v>
      </c>
      <c r="F3" s="1" t="s">
        <v>889</v>
      </c>
      <c r="G3" s="1" t="s">
        <v>1199</v>
      </c>
      <c r="H3" s="1" t="s">
        <v>1200</v>
      </c>
      <c r="I3" s="1" t="s">
        <v>1201</v>
      </c>
    </row>
    <row r="4" spans="1:9" x14ac:dyDescent="0.25">
      <c r="G4" s="24" t="s">
        <v>900</v>
      </c>
      <c r="H4" s="24" t="s">
        <v>900</v>
      </c>
      <c r="I4" t="s">
        <v>900</v>
      </c>
    </row>
    <row r="5" spans="1:9" x14ac:dyDescent="0.25">
      <c r="G5" s="24"/>
      <c r="H5" s="24"/>
    </row>
    <row r="6" spans="1:9" x14ac:dyDescent="0.25">
      <c r="G6" s="24" t="s">
        <v>1202</v>
      </c>
      <c r="H6" s="24" t="s">
        <v>1202</v>
      </c>
      <c r="I6" t="s">
        <v>1202</v>
      </c>
    </row>
    <row r="7" spans="1:9" x14ac:dyDescent="0.25">
      <c r="G7" s="24" t="s">
        <v>910</v>
      </c>
      <c r="H7" s="24" t="s">
        <v>910</v>
      </c>
      <c r="I7" t="s">
        <v>910</v>
      </c>
    </row>
    <row r="8" spans="1:9" x14ac:dyDescent="0.25">
      <c r="A8" s="34" t="s">
        <v>1065</v>
      </c>
      <c r="B8" s="34">
        <v>0</v>
      </c>
      <c r="C8" s="34" t="s">
        <v>1065</v>
      </c>
      <c r="D8" s="34" t="s">
        <v>1203</v>
      </c>
      <c r="E8" s="34" t="s">
        <v>1204</v>
      </c>
      <c r="F8" s="34" t="s">
        <v>1205</v>
      </c>
      <c r="G8" s="24" t="s">
        <v>1065</v>
      </c>
      <c r="H8" s="24" t="s">
        <v>1065</v>
      </c>
      <c r="I8" t="s">
        <v>1065</v>
      </c>
    </row>
    <row r="9" spans="1:9" x14ac:dyDescent="0.25">
      <c r="A9" s="34"/>
      <c r="B9" s="34"/>
      <c r="C9" s="34"/>
      <c r="D9" s="34"/>
      <c r="E9" s="34"/>
      <c r="F9" s="34" t="s">
        <v>1206</v>
      </c>
      <c r="G9" s="24"/>
      <c r="H9" s="24"/>
    </row>
    <row r="10" spans="1:9" x14ac:dyDescent="0.25">
      <c r="A10" s="12"/>
      <c r="B10" s="12"/>
      <c r="C10" s="12"/>
      <c r="D10" s="12"/>
      <c r="E10" s="12"/>
      <c r="F10" s="12"/>
      <c r="G10" s="12"/>
      <c r="H10" s="12"/>
      <c r="I10" s="12"/>
    </row>
    <row r="11" spans="1:9" x14ac:dyDescent="0.25">
      <c r="A11" s="12"/>
      <c r="B11" s="20">
        <v>0</v>
      </c>
      <c r="C11" s="20" t="s">
        <v>1207</v>
      </c>
      <c r="D11" s="20"/>
      <c r="E11" s="20" t="s">
        <v>1208</v>
      </c>
      <c r="F11" s="20" t="s">
        <v>1209</v>
      </c>
      <c r="G11" s="12"/>
      <c r="H11" s="12"/>
      <c r="I11" s="12"/>
    </row>
    <row r="12" spans="1:9" x14ac:dyDescent="0.25">
      <c r="A12" s="41" t="s">
        <v>1210</v>
      </c>
      <c r="B12" s="41">
        <v>1</v>
      </c>
      <c r="C12" s="41" t="s">
        <v>1211</v>
      </c>
      <c r="D12" s="41" t="s">
        <v>1212</v>
      </c>
      <c r="E12" s="41" t="s">
        <v>1213</v>
      </c>
      <c r="F12" s="41" t="s">
        <v>1214</v>
      </c>
      <c r="G12" s="41" t="s">
        <v>1210</v>
      </c>
      <c r="I12" t="s">
        <v>1215</v>
      </c>
    </row>
    <row r="13" spans="1:9" x14ac:dyDescent="0.25">
      <c r="A13" s="41" t="s">
        <v>1216</v>
      </c>
      <c r="G13" s="41" t="s">
        <v>1216</v>
      </c>
      <c r="I13" t="s">
        <v>1217</v>
      </c>
    </row>
    <row r="14" spans="1:9" x14ac:dyDescent="0.25">
      <c r="A14" s="41" t="s">
        <v>1218</v>
      </c>
      <c r="G14" s="41" t="s">
        <v>1218</v>
      </c>
      <c r="I14" t="s">
        <v>1219</v>
      </c>
    </row>
    <row r="15" spans="1:9" x14ac:dyDescent="0.25">
      <c r="A15" s="41" t="s">
        <v>1220</v>
      </c>
      <c r="G15" s="41" t="s">
        <v>1220</v>
      </c>
      <c r="I15" t="s">
        <v>1221</v>
      </c>
    </row>
    <row r="16" spans="1:9" x14ac:dyDescent="0.25">
      <c r="A16" s="41" t="s">
        <v>1222</v>
      </c>
      <c r="G16" s="41" t="s">
        <v>1222</v>
      </c>
      <c r="I16" t="s">
        <v>1223</v>
      </c>
    </row>
    <row r="17" spans="1:9" x14ac:dyDescent="0.25">
      <c r="A17" s="41" t="s">
        <v>1224</v>
      </c>
      <c r="G17" s="41" t="s">
        <v>1224</v>
      </c>
      <c r="I17" t="s">
        <v>1225</v>
      </c>
    </row>
    <row r="18" spans="1:9" x14ac:dyDescent="0.25">
      <c r="A18" s="41" t="s">
        <v>1226</v>
      </c>
      <c r="G18" s="41" t="s">
        <v>1226</v>
      </c>
      <c r="I18" t="s">
        <v>1227</v>
      </c>
    </row>
    <row r="19" spans="1:9" x14ac:dyDescent="0.25">
      <c r="A19" s="41" t="s">
        <v>1228</v>
      </c>
      <c r="G19" s="41" t="s">
        <v>1228</v>
      </c>
      <c r="I19" t="s">
        <v>1229</v>
      </c>
    </row>
    <row r="20" spans="1:9" x14ac:dyDescent="0.25">
      <c r="A20" s="41" t="s">
        <v>1230</v>
      </c>
      <c r="G20" s="41" t="s">
        <v>1230</v>
      </c>
      <c r="I20" t="s">
        <v>1231</v>
      </c>
    </row>
    <row r="21" spans="1:9" x14ac:dyDescent="0.25">
      <c r="A21" s="41"/>
      <c r="G21" s="41" t="s">
        <v>1232</v>
      </c>
      <c r="I21" t="s">
        <v>1233</v>
      </c>
    </row>
    <row r="22" spans="1:9" x14ac:dyDescent="0.25">
      <c r="A22" s="41" t="s">
        <v>1234</v>
      </c>
      <c r="G22" s="41" t="s">
        <v>1234</v>
      </c>
      <c r="I22" t="s">
        <v>1235</v>
      </c>
    </row>
    <row r="23" spans="1:9" x14ac:dyDescent="0.25">
      <c r="A23" s="41" t="s">
        <v>1236</v>
      </c>
      <c r="G23" s="41" t="s">
        <v>1236</v>
      </c>
      <c r="I23" t="s">
        <v>1237</v>
      </c>
    </row>
    <row r="24" spans="1:9" x14ac:dyDescent="0.25">
      <c r="A24" s="41" t="s">
        <v>1238</v>
      </c>
      <c r="G24" s="41" t="s">
        <v>1238</v>
      </c>
      <c r="I24" t="s">
        <v>1239</v>
      </c>
    </row>
    <row r="26" spans="1:9" x14ac:dyDescent="0.25">
      <c r="A26" s="37" t="s">
        <v>1240</v>
      </c>
      <c r="B26" s="37">
        <v>2</v>
      </c>
      <c r="C26" s="37" t="s">
        <v>1241</v>
      </c>
      <c r="D26" s="37"/>
      <c r="E26" s="37" t="s">
        <v>1242</v>
      </c>
      <c r="F26" s="37" t="s">
        <v>1243</v>
      </c>
      <c r="G26" s="37" t="s">
        <v>1240</v>
      </c>
      <c r="I26" t="s">
        <v>1244</v>
      </c>
    </row>
    <row r="27" spans="1:9" x14ac:dyDescent="0.25">
      <c r="A27" s="37" t="s">
        <v>1245</v>
      </c>
      <c r="G27" s="37" t="s">
        <v>1245</v>
      </c>
      <c r="I27" t="s">
        <v>1246</v>
      </c>
    </row>
    <row r="28" spans="1:9" x14ac:dyDescent="0.25">
      <c r="A28" s="37" t="s">
        <v>1247</v>
      </c>
      <c r="B28">
        <v>3</v>
      </c>
      <c r="C28" t="s">
        <v>1248</v>
      </c>
      <c r="E28" t="s">
        <v>1249</v>
      </c>
      <c r="F28" t="s">
        <v>1250</v>
      </c>
      <c r="G28" s="37" t="s">
        <v>1247</v>
      </c>
      <c r="I28" t="s">
        <v>1251</v>
      </c>
    </row>
    <row r="29" spans="1:9" x14ac:dyDescent="0.25">
      <c r="A29" s="37" t="s">
        <v>1252</v>
      </c>
      <c r="G29" s="37" t="s">
        <v>1252</v>
      </c>
      <c r="I29" t="s">
        <v>1253</v>
      </c>
    </row>
    <row r="30" spans="1:9" x14ac:dyDescent="0.25">
      <c r="A30" s="37" t="s">
        <v>1254</v>
      </c>
      <c r="G30" s="37" t="s">
        <v>1254</v>
      </c>
      <c r="I30" t="s">
        <v>1255</v>
      </c>
    </row>
    <row r="31" spans="1:9" x14ac:dyDescent="0.25">
      <c r="A31" s="37" t="s">
        <v>1256</v>
      </c>
      <c r="G31" s="37" t="s">
        <v>1256</v>
      </c>
      <c r="I31" t="s">
        <v>1257</v>
      </c>
    </row>
    <row r="32" spans="1:9" x14ac:dyDescent="0.25">
      <c r="A32" s="37" t="s">
        <v>1258</v>
      </c>
      <c r="G32" s="37" t="s">
        <v>1258</v>
      </c>
      <c r="I32" t="s">
        <v>1259</v>
      </c>
    </row>
    <row r="33" spans="1:9" x14ac:dyDescent="0.25">
      <c r="A33" s="37" t="s">
        <v>1260</v>
      </c>
      <c r="G33" s="37" t="s">
        <v>1260</v>
      </c>
      <c r="I33" t="s">
        <v>1261</v>
      </c>
    </row>
    <row r="34" spans="1:9" x14ac:dyDescent="0.25">
      <c r="A34" s="37" t="s">
        <v>1262</v>
      </c>
      <c r="G34" s="37" t="s">
        <v>1262</v>
      </c>
      <c r="I34" t="s">
        <v>1263</v>
      </c>
    </row>
    <row r="35" spans="1:9" x14ac:dyDescent="0.25">
      <c r="A35" s="37" t="s">
        <v>1264</v>
      </c>
      <c r="G35" s="37" t="s">
        <v>1264</v>
      </c>
      <c r="I35" t="s">
        <v>1265</v>
      </c>
    </row>
    <row r="37" spans="1:9" x14ac:dyDescent="0.25">
      <c r="A37" s="41" t="s">
        <v>1266</v>
      </c>
      <c r="F37" s="41" t="s">
        <v>1267</v>
      </c>
      <c r="G37" s="41" t="s">
        <v>1266</v>
      </c>
      <c r="I37" t="s">
        <v>1268</v>
      </c>
    </row>
    <row r="38" spans="1:9" x14ac:dyDescent="0.25">
      <c r="A38" s="41" t="s">
        <v>1269</v>
      </c>
      <c r="G38" s="41" t="s">
        <v>1269</v>
      </c>
      <c r="I38" t="s">
        <v>1270</v>
      </c>
    </row>
    <row r="39" spans="1:9" x14ac:dyDescent="0.25">
      <c r="A39" s="41" t="s">
        <v>1271</v>
      </c>
      <c r="D39" s="41" t="s">
        <v>1272</v>
      </c>
      <c r="G39" s="41" t="s">
        <v>1271</v>
      </c>
      <c r="I39" t="s">
        <v>1273</v>
      </c>
    </row>
    <row r="41" spans="1:9" x14ac:dyDescent="0.25">
      <c r="B41" s="20">
        <v>0</v>
      </c>
      <c r="C41" s="20" t="s">
        <v>1274</v>
      </c>
      <c r="D41" s="20"/>
      <c r="E41" s="20" t="s">
        <v>1275</v>
      </c>
      <c r="F41" s="20" t="s">
        <v>1276</v>
      </c>
    </row>
  </sheetData>
  <hyperlinks>
    <hyperlink ref="A1" location="contents!A1" display="Contents" xr:uid="{00000000-0004-0000-0700-000000000000}"/>
    <hyperlink ref="B1" location="contents!A1" display="Contents" xr:uid="{00000000-0004-0000-0700-000001000000}"/>
    <hyperlink ref="C1" location="contents!A1" display="Contents" xr:uid="{00000000-0004-0000-0700-000002000000}"/>
    <hyperlink ref="D1" location="contents!A1" display="Contents" xr:uid="{00000000-0004-0000-0700-000003000000}"/>
    <hyperlink ref="E1" location="contents!A1" display="Contents" xr:uid="{00000000-0004-0000-0700-000004000000}"/>
    <hyperlink ref="F1" location="contents!A1" display="Contents" xr:uid="{00000000-0004-0000-0700-000005000000}"/>
    <hyperlink ref="G1" location="contents!A1" display="Contents" xr:uid="{00000000-0004-0000-0700-000006000000}"/>
    <hyperlink ref="H1" location="contents!A1" display="Contents" xr:uid="{00000000-0004-0000-0700-000007000000}"/>
    <hyperlink ref="I1" location="contents!A1" display="Contents" xr:uid="{00000000-0004-0000-0700-000008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8"/>
  <sheetViews>
    <sheetView zoomScaleNormal="100" workbookViewId="0"/>
  </sheetViews>
  <sheetFormatPr defaultColWidth="8.7109375" defaultRowHeight="15" x14ac:dyDescent="0.25"/>
  <cols>
    <col min="1" max="1" width="28.42578125" customWidth="1"/>
    <col min="2" max="2" width="24.140625" customWidth="1"/>
    <col min="3" max="3" width="17.7109375" customWidth="1"/>
    <col min="4" max="4" width="39.42578125" customWidth="1"/>
    <col min="5" max="5" width="78.42578125" customWidth="1"/>
    <col min="6" max="6" width="131.140625" customWidth="1"/>
    <col min="7" max="7" width="23.5703125" customWidth="1"/>
    <col min="8" max="8" width="16.28515625" customWidth="1"/>
    <col min="9" max="9" width="31" customWidth="1"/>
    <col min="10" max="10" width="22.42578125" customWidth="1"/>
  </cols>
  <sheetData>
    <row r="1" spans="1:13" x14ac:dyDescent="0.25">
      <c r="A1" s="2" t="s">
        <v>0</v>
      </c>
      <c r="B1" s="2" t="s">
        <v>0</v>
      </c>
      <c r="C1" s="2" t="s">
        <v>0</v>
      </c>
      <c r="D1" s="2" t="s">
        <v>0</v>
      </c>
      <c r="E1" s="2" t="s">
        <v>0</v>
      </c>
      <c r="F1" s="2" t="s">
        <v>0</v>
      </c>
      <c r="G1" s="2" t="s">
        <v>0</v>
      </c>
      <c r="H1" s="2" t="s">
        <v>0</v>
      </c>
      <c r="I1" s="2" t="s">
        <v>0</v>
      </c>
      <c r="J1" s="2" t="s">
        <v>0</v>
      </c>
    </row>
    <row r="2" spans="1:13" x14ac:dyDescent="0.25">
      <c r="A2" s="1" t="s">
        <v>37</v>
      </c>
    </row>
    <row r="3" spans="1:13" x14ac:dyDescent="0.25">
      <c r="A3" s="1" t="s">
        <v>884</v>
      </c>
      <c r="B3" s="1" t="s">
        <v>885</v>
      </c>
      <c r="C3" s="1" t="s">
        <v>886</v>
      </c>
      <c r="D3" s="1" t="s">
        <v>887</v>
      </c>
      <c r="E3" s="1" t="s">
        <v>888</v>
      </c>
      <c r="F3" s="1" t="s">
        <v>889</v>
      </c>
      <c r="G3" s="1" t="s">
        <v>1277</v>
      </c>
      <c r="H3" s="1" t="s">
        <v>1278</v>
      </c>
      <c r="I3" s="1" t="s">
        <v>1279</v>
      </c>
      <c r="J3" s="1" t="s">
        <v>893</v>
      </c>
    </row>
    <row r="4" spans="1:13" x14ac:dyDescent="0.25">
      <c r="I4" s="24" t="s">
        <v>900</v>
      </c>
    </row>
    <row r="5" spans="1:13" x14ac:dyDescent="0.25">
      <c r="D5" t="s">
        <v>1280</v>
      </c>
      <c r="I5" s="24" t="s">
        <v>910</v>
      </c>
    </row>
    <row r="6" spans="1:13" x14ac:dyDescent="0.25">
      <c r="I6" s="12" t="s">
        <v>917</v>
      </c>
    </row>
    <row r="7" spans="1:13" x14ac:dyDescent="0.25">
      <c r="B7">
        <v>0</v>
      </c>
      <c r="C7" t="s">
        <v>1281</v>
      </c>
      <c r="D7" t="s">
        <v>1282</v>
      </c>
      <c r="E7" t="s">
        <v>1283</v>
      </c>
      <c r="F7" t="s">
        <v>1282</v>
      </c>
      <c r="I7" t="s">
        <v>1284</v>
      </c>
    </row>
    <row r="8" spans="1:13" x14ac:dyDescent="0.25">
      <c r="D8" t="s">
        <v>1285</v>
      </c>
      <c r="F8" t="s">
        <v>1285</v>
      </c>
    </row>
    <row r="9" spans="1:13" x14ac:dyDescent="0.25">
      <c r="F9" t="s">
        <v>1286</v>
      </c>
    </row>
    <row r="10" spans="1:13" x14ac:dyDescent="0.25">
      <c r="I10" t="s">
        <v>1287</v>
      </c>
    </row>
    <row r="11" spans="1:13" x14ac:dyDescent="0.25">
      <c r="B11">
        <v>1</v>
      </c>
      <c r="C11" t="s">
        <v>1288</v>
      </c>
      <c r="E11" t="s">
        <v>5163</v>
      </c>
      <c r="F11" t="s">
        <v>1290</v>
      </c>
      <c r="I11" t="s">
        <v>1291</v>
      </c>
      <c r="M11" t="s">
        <v>1289</v>
      </c>
    </row>
    <row r="12" spans="1:13" x14ac:dyDescent="0.25">
      <c r="F12" t="s">
        <v>5164</v>
      </c>
      <c r="I12" t="s">
        <v>1292</v>
      </c>
    </row>
    <row r="13" spans="1:13" x14ac:dyDescent="0.25">
      <c r="F13" t="s">
        <v>5165</v>
      </c>
      <c r="I13" t="s">
        <v>1293</v>
      </c>
    </row>
    <row r="14" spans="1:13" x14ac:dyDescent="0.25">
      <c r="I14" t="s">
        <v>1068</v>
      </c>
    </row>
    <row r="15" spans="1:13" x14ac:dyDescent="0.25">
      <c r="I15" t="s">
        <v>1294</v>
      </c>
    </row>
    <row r="17" spans="2:6" x14ac:dyDescent="0.25">
      <c r="B17" s="20">
        <v>2</v>
      </c>
      <c r="C17" s="20" t="s">
        <v>1055</v>
      </c>
      <c r="D17" s="20"/>
      <c r="E17" s="20" t="s">
        <v>1056</v>
      </c>
      <c r="F17" s="20" t="s">
        <v>1057</v>
      </c>
    </row>
    <row r="18" spans="2:6" x14ac:dyDescent="0.25">
      <c r="D18" t="s">
        <v>1057</v>
      </c>
    </row>
  </sheetData>
  <hyperlinks>
    <hyperlink ref="A1" location="contents!A1" display="Contents" xr:uid="{00000000-0004-0000-0800-000000000000}"/>
    <hyperlink ref="B1" location="contents!A1" display="Contents" xr:uid="{00000000-0004-0000-0800-000001000000}"/>
    <hyperlink ref="C1" location="contents!A1" display="Contents" xr:uid="{00000000-0004-0000-0800-000002000000}"/>
    <hyperlink ref="D1" location="contents!A1" display="Contents" xr:uid="{00000000-0004-0000-0800-000003000000}"/>
    <hyperlink ref="E1" location="contents!A1" display="Contents" xr:uid="{00000000-0004-0000-0800-000004000000}"/>
    <hyperlink ref="F1" location="contents!A1" display="Contents" xr:uid="{00000000-0004-0000-0800-000005000000}"/>
    <hyperlink ref="G1" location="contents!A1" display="Contents" xr:uid="{00000000-0004-0000-0800-000006000000}"/>
    <hyperlink ref="H1" location="contents!A1" display="Contents" xr:uid="{00000000-0004-0000-0800-000007000000}"/>
    <hyperlink ref="I1" location="contents!A1" display="Contents" xr:uid="{00000000-0004-0000-0800-000008000000}"/>
    <hyperlink ref="J1" location="contents!A1" display="Contents" xr:uid="{00000000-0004-0000-0800-000009000000}"/>
  </hyperlinks>
  <pageMargins left="0.7" right="0.7" top="0.75" bottom="0.75" header="0.511811023622047" footer="0.511811023622047"/>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22"/>
  <sheetViews>
    <sheetView zoomScaleNormal="100" workbookViewId="0">
      <pane ySplit="3" topLeftCell="A22" activePane="bottomLeft" state="frozen"/>
      <selection pane="bottomLeft" activeCell="F41" sqref="F41"/>
    </sheetView>
  </sheetViews>
  <sheetFormatPr defaultColWidth="9.140625" defaultRowHeight="15" x14ac:dyDescent="0.25"/>
  <cols>
    <col min="1" max="2" width="30.28515625" customWidth="1"/>
    <col min="3" max="3" width="28.28515625" customWidth="1"/>
    <col min="4" max="4" width="33.7109375" customWidth="1"/>
    <col min="5" max="5" width="85.7109375" customWidth="1"/>
    <col min="6" max="6" width="67.42578125" customWidth="1"/>
    <col min="7" max="7" width="26.7109375" customWidth="1"/>
    <col min="8" max="8" width="22" customWidth="1"/>
    <col min="9" max="9" width="27.140625" customWidth="1"/>
    <col min="10" max="10" width="17.5703125" customWidth="1"/>
    <col min="11" max="11" width="30.7109375" customWidth="1"/>
  </cols>
  <sheetData>
    <row r="1" spans="1:11" x14ac:dyDescent="0.25">
      <c r="A1" s="2" t="s">
        <v>0</v>
      </c>
    </row>
    <row r="2" spans="1:11" x14ac:dyDescent="0.25">
      <c r="A2" s="1" t="s">
        <v>15</v>
      </c>
    </row>
    <row r="3" spans="1:11" x14ac:dyDescent="0.25">
      <c r="A3" s="1" t="s">
        <v>884</v>
      </c>
      <c r="B3" s="1" t="s">
        <v>885</v>
      </c>
      <c r="C3" s="1" t="s">
        <v>886</v>
      </c>
      <c r="D3" s="1" t="s">
        <v>887</v>
      </c>
      <c r="E3" s="1" t="s">
        <v>888</v>
      </c>
      <c r="F3" s="1" t="s">
        <v>889</v>
      </c>
      <c r="G3" s="1" t="s">
        <v>1460</v>
      </c>
      <c r="H3" s="1" t="s">
        <v>1461</v>
      </c>
      <c r="I3" s="1" t="s">
        <v>1462</v>
      </c>
      <c r="J3" s="1" t="s">
        <v>893</v>
      </c>
      <c r="K3" s="1"/>
    </row>
    <row r="4" spans="1:11" x14ac:dyDescent="0.25">
      <c r="G4" s="24" t="s">
        <v>900</v>
      </c>
      <c r="H4" s="24" t="s">
        <v>900</v>
      </c>
      <c r="I4" t="s">
        <v>900</v>
      </c>
    </row>
    <row r="5" spans="1:11" x14ac:dyDescent="0.25">
      <c r="G5" s="24" t="s">
        <v>910</v>
      </c>
      <c r="H5" s="24" t="s">
        <v>910</v>
      </c>
      <c r="I5" t="s">
        <v>910</v>
      </c>
    </row>
    <row r="6" spans="1:11" x14ac:dyDescent="0.25">
      <c r="G6" s="24" t="s">
        <v>917</v>
      </c>
      <c r="H6" s="24" t="s">
        <v>917</v>
      </c>
      <c r="I6" t="s">
        <v>917</v>
      </c>
    </row>
    <row r="7" spans="1:11" x14ac:dyDescent="0.25">
      <c r="B7" s="20">
        <v>0</v>
      </c>
      <c r="C7" s="20" t="s">
        <v>1463</v>
      </c>
      <c r="D7" s="20"/>
      <c r="E7" s="20" t="s">
        <v>1464</v>
      </c>
      <c r="F7" s="20" t="s">
        <v>1465</v>
      </c>
      <c r="G7" s="12"/>
      <c r="H7" s="12"/>
    </row>
    <row r="8" spans="1:11" x14ac:dyDescent="0.25">
      <c r="A8" s="50" t="s">
        <v>1466</v>
      </c>
      <c r="B8" s="51">
        <v>0</v>
      </c>
      <c r="C8" s="51" t="s">
        <v>1467</v>
      </c>
      <c r="D8" s="51" t="s">
        <v>1468</v>
      </c>
      <c r="E8" s="51" t="s">
        <v>1469</v>
      </c>
      <c r="F8" s="51" t="s">
        <v>1468</v>
      </c>
      <c r="G8" s="24" t="s">
        <v>1466</v>
      </c>
      <c r="H8" s="24" t="s">
        <v>1466</v>
      </c>
      <c r="I8" t="s">
        <v>1180</v>
      </c>
    </row>
    <row r="9" spans="1:11" x14ac:dyDescent="0.25">
      <c r="A9" s="51" t="s">
        <v>1027</v>
      </c>
      <c r="G9" s="24" t="s">
        <v>1027</v>
      </c>
      <c r="H9" s="24" t="s">
        <v>1027</v>
      </c>
      <c r="I9" t="s">
        <v>1027</v>
      </c>
    </row>
    <row r="10" spans="1:11" x14ac:dyDescent="0.25">
      <c r="A10" s="51" t="s">
        <v>1185</v>
      </c>
      <c r="B10" s="50">
        <v>1</v>
      </c>
      <c r="C10" s="50" t="s">
        <v>1470</v>
      </c>
      <c r="D10" s="50" t="s">
        <v>1471</v>
      </c>
      <c r="E10" s="50" t="s">
        <v>1472</v>
      </c>
      <c r="F10" s="50" t="s">
        <v>1473</v>
      </c>
      <c r="G10" s="24" t="s">
        <v>1185</v>
      </c>
      <c r="H10" s="24" t="s">
        <v>1185</v>
      </c>
      <c r="I10" t="s">
        <v>1185</v>
      </c>
    </row>
    <row r="11" spans="1:11" x14ac:dyDescent="0.25">
      <c r="A11" s="52" t="s">
        <v>1474</v>
      </c>
      <c r="G11" s="24" t="s">
        <v>1475</v>
      </c>
      <c r="H11" s="24" t="s">
        <v>1475</v>
      </c>
      <c r="I11" t="s">
        <v>1476</v>
      </c>
    </row>
    <row r="12" spans="1:11" x14ac:dyDescent="0.25">
      <c r="A12" s="52" t="s">
        <v>1477</v>
      </c>
      <c r="B12" s="53">
        <v>9</v>
      </c>
      <c r="C12" s="53" t="s">
        <v>1478</v>
      </c>
      <c r="D12" s="53"/>
      <c r="E12" s="53" t="s">
        <v>1479</v>
      </c>
      <c r="F12" s="53" t="s">
        <v>1480</v>
      </c>
      <c r="G12" s="24" t="s">
        <v>1481</v>
      </c>
      <c r="H12" s="24" t="s">
        <v>1481</v>
      </c>
      <c r="I12" t="s">
        <v>1482</v>
      </c>
    </row>
    <row r="13" spans="1:11" x14ac:dyDescent="0.25">
      <c r="F13" s="53" t="s">
        <v>1483</v>
      </c>
      <c r="H13" s="24" t="s">
        <v>1484</v>
      </c>
    </row>
    <row r="14" spans="1:11" x14ac:dyDescent="0.25">
      <c r="F14" s="53" t="s">
        <v>1485</v>
      </c>
      <c r="H14" s="24" t="s">
        <v>1486</v>
      </c>
    </row>
    <row r="15" spans="1:11" x14ac:dyDescent="0.25">
      <c r="A15" s="54" t="s">
        <v>1487</v>
      </c>
      <c r="F15" s="53" t="s">
        <v>1488</v>
      </c>
      <c r="G15" s="54" t="s">
        <v>1487</v>
      </c>
      <c r="I15" t="s">
        <v>1487</v>
      </c>
    </row>
    <row r="16" spans="1:11" x14ac:dyDescent="0.25">
      <c r="A16" s="55" t="s">
        <v>1489</v>
      </c>
      <c r="F16" s="53" t="s">
        <v>1490</v>
      </c>
      <c r="G16" s="55" t="s">
        <v>1489</v>
      </c>
      <c r="I16" t="s">
        <v>1489</v>
      </c>
    </row>
    <row r="17" spans="1:11" x14ac:dyDescent="0.25">
      <c r="A17" s="55"/>
      <c r="F17" s="53" t="s">
        <v>1491</v>
      </c>
      <c r="G17" s="24" t="s">
        <v>1484</v>
      </c>
      <c r="I17" s="24" t="s">
        <v>1484</v>
      </c>
    </row>
    <row r="18" spans="1:11" x14ac:dyDescent="0.25">
      <c r="A18" s="55" t="s">
        <v>1492</v>
      </c>
      <c r="G18" s="55" t="s">
        <v>1492</v>
      </c>
      <c r="I18" t="s">
        <v>1492</v>
      </c>
    </row>
    <row r="19" spans="1:11" x14ac:dyDescent="0.25">
      <c r="A19" s="55"/>
      <c r="B19" s="32">
        <v>10</v>
      </c>
      <c r="C19" s="32" t="s">
        <v>1493</v>
      </c>
      <c r="D19" s="32"/>
      <c r="E19" s="32" t="s">
        <v>1494</v>
      </c>
      <c r="F19" s="32" t="s">
        <v>1495</v>
      </c>
      <c r="G19" s="24" t="s">
        <v>1486</v>
      </c>
      <c r="I19" s="24" t="s">
        <v>1486</v>
      </c>
    </row>
    <row r="20" spans="1:11" x14ac:dyDescent="0.25">
      <c r="A20" s="53" t="s">
        <v>1496</v>
      </c>
      <c r="F20" s="32" t="s">
        <v>1497</v>
      </c>
      <c r="G20" s="53" t="s">
        <v>1496</v>
      </c>
      <c r="I20" t="s">
        <v>1498</v>
      </c>
    </row>
    <row r="21" spans="1:11" x14ac:dyDescent="0.25">
      <c r="A21" s="53" t="s">
        <v>1499</v>
      </c>
      <c r="G21" s="53" t="s">
        <v>1499</v>
      </c>
      <c r="I21" t="s">
        <v>1499</v>
      </c>
    </row>
    <row r="22" spans="1:11" x14ac:dyDescent="0.25">
      <c r="A22" s="53" t="s">
        <v>1500</v>
      </c>
      <c r="B22" s="54">
        <v>11</v>
      </c>
      <c r="C22" s="54" t="s">
        <v>1501</v>
      </c>
      <c r="D22" s="54"/>
      <c r="E22" s="54" t="s">
        <v>1502</v>
      </c>
      <c r="F22" s="54" t="s">
        <v>1503</v>
      </c>
      <c r="G22" s="53" t="s">
        <v>1500</v>
      </c>
      <c r="I22" t="s">
        <v>1500</v>
      </c>
    </row>
    <row r="23" spans="1:11" x14ac:dyDescent="0.25">
      <c r="A23" s="32" t="s">
        <v>2934</v>
      </c>
      <c r="B23" s="54"/>
      <c r="C23" s="54"/>
      <c r="D23" s="54"/>
      <c r="E23" s="54"/>
      <c r="F23" s="54"/>
      <c r="G23" s="32" t="s">
        <v>2934</v>
      </c>
      <c r="I23" t="s">
        <v>2934</v>
      </c>
    </row>
    <row r="24" spans="1:11" x14ac:dyDescent="0.25">
      <c r="A24" s="32" t="s">
        <v>1192</v>
      </c>
      <c r="F24" t="s">
        <v>1504</v>
      </c>
      <c r="G24" s="32" t="s">
        <v>1192</v>
      </c>
      <c r="I24" t="s">
        <v>1505</v>
      </c>
    </row>
    <row r="25" spans="1:11" x14ac:dyDescent="0.25">
      <c r="A25" s="32" t="s">
        <v>1506</v>
      </c>
      <c r="G25" s="32" t="s">
        <v>1506</v>
      </c>
      <c r="I25" t="s">
        <v>1507</v>
      </c>
    </row>
    <row r="26" spans="1:11" x14ac:dyDescent="0.25">
      <c r="A26" s="32" t="s">
        <v>1508</v>
      </c>
      <c r="B26" s="41">
        <v>12</v>
      </c>
      <c r="C26" s="41" t="s">
        <v>1509</v>
      </c>
      <c r="D26" s="41"/>
      <c r="E26" s="41" t="s">
        <v>1510</v>
      </c>
      <c r="F26" s="41" t="s">
        <v>1511</v>
      </c>
      <c r="G26" s="32" t="s">
        <v>1508</v>
      </c>
      <c r="I26" t="s">
        <v>1512</v>
      </c>
    </row>
    <row r="27" spans="1:11" x14ac:dyDescent="0.25">
      <c r="A27" s="32" t="s">
        <v>1513</v>
      </c>
      <c r="G27" s="32" t="s">
        <v>1513</v>
      </c>
      <c r="I27" t="s">
        <v>1513</v>
      </c>
    </row>
    <row r="28" spans="1:11" x14ac:dyDescent="0.25">
      <c r="A28" s="32" t="s">
        <v>1514</v>
      </c>
      <c r="G28" s="32" t="s">
        <v>1514</v>
      </c>
      <c r="I28" t="s">
        <v>1514</v>
      </c>
    </row>
    <row r="29" spans="1:11" x14ac:dyDescent="0.25">
      <c r="A29" s="41" t="s">
        <v>1515</v>
      </c>
      <c r="B29" s="55">
        <v>13</v>
      </c>
      <c r="C29" s="55" t="s">
        <v>1516</v>
      </c>
      <c r="D29" s="55"/>
      <c r="E29" s="55" t="s">
        <v>1517</v>
      </c>
      <c r="F29" s="55" t="s">
        <v>1518</v>
      </c>
      <c r="G29" s="41" t="s">
        <v>1515</v>
      </c>
      <c r="I29" t="s">
        <v>1515</v>
      </c>
    </row>
    <row r="30" spans="1:11" x14ac:dyDescent="0.25">
      <c r="A30" s="32" t="s">
        <v>1519</v>
      </c>
      <c r="F30" s="55" t="s">
        <v>1520</v>
      </c>
      <c r="G30" s="32" t="s">
        <v>1519</v>
      </c>
      <c r="I30" t="s">
        <v>1521</v>
      </c>
    </row>
    <row r="31" spans="1:11" x14ac:dyDescent="0.25">
      <c r="A31" s="53" t="s">
        <v>1522</v>
      </c>
      <c r="F31" s="55" t="s">
        <v>1523</v>
      </c>
      <c r="G31" s="53" t="s">
        <v>1522</v>
      </c>
      <c r="I31" t="s">
        <v>1522</v>
      </c>
      <c r="K31" s="52" t="s">
        <v>1524</v>
      </c>
    </row>
    <row r="32" spans="1:11" x14ac:dyDescent="0.25">
      <c r="A32" s="32" t="s">
        <v>1525</v>
      </c>
      <c r="F32" s="55" t="s">
        <v>1526</v>
      </c>
      <c r="G32" s="32" t="s">
        <v>1525</v>
      </c>
      <c r="I32" t="s">
        <v>1525</v>
      </c>
    </row>
    <row r="33" spans="1:11" x14ac:dyDescent="0.25">
      <c r="A33" s="31" t="s">
        <v>1527</v>
      </c>
      <c r="F33" s="55" t="s">
        <v>1528</v>
      </c>
      <c r="G33" s="32" t="s">
        <v>1527</v>
      </c>
      <c r="I33" t="s">
        <v>1527</v>
      </c>
      <c r="K33" t="s">
        <v>1529</v>
      </c>
    </row>
    <row r="34" spans="1:11" x14ac:dyDescent="0.25">
      <c r="A34" s="32" t="s">
        <v>1530</v>
      </c>
      <c r="G34" s="32" t="s">
        <v>1530</v>
      </c>
      <c r="I34" t="s">
        <v>1531</v>
      </c>
    </row>
    <row r="35" spans="1:11" x14ac:dyDescent="0.25">
      <c r="A35" s="32" t="s">
        <v>1532</v>
      </c>
      <c r="B35" s="55">
        <v>14</v>
      </c>
      <c r="C35" s="55" t="s">
        <v>1533</v>
      </c>
      <c r="D35" s="55"/>
      <c r="E35" s="55" t="s">
        <v>1534</v>
      </c>
      <c r="F35" s="55" t="s">
        <v>1535</v>
      </c>
      <c r="G35" s="32" t="s">
        <v>1532</v>
      </c>
      <c r="I35" t="s">
        <v>1536</v>
      </c>
    </row>
    <row r="36" spans="1:11" x14ac:dyDescent="0.25">
      <c r="A36" s="32" t="s">
        <v>1537</v>
      </c>
      <c r="F36" s="55" t="s">
        <v>1538</v>
      </c>
      <c r="G36" s="32" t="s">
        <v>1537</v>
      </c>
      <c r="I36" t="s">
        <v>1537</v>
      </c>
    </row>
    <row r="37" spans="1:11" x14ac:dyDescent="0.25">
      <c r="A37" s="32" t="s">
        <v>1539</v>
      </c>
      <c r="G37" s="32" t="s">
        <v>1539</v>
      </c>
      <c r="I37" t="s">
        <v>1539</v>
      </c>
    </row>
    <row r="38" spans="1:11" x14ac:dyDescent="0.25">
      <c r="A38" s="32" t="s">
        <v>1540</v>
      </c>
      <c r="G38" s="32" t="s">
        <v>1540</v>
      </c>
      <c r="I38" t="s">
        <v>1541</v>
      </c>
    </row>
    <row r="39" spans="1:11" x14ac:dyDescent="0.25">
      <c r="A39" s="56" t="s">
        <v>1542</v>
      </c>
      <c r="B39" s="56">
        <v>15</v>
      </c>
      <c r="C39" s="56" t="s">
        <v>1543</v>
      </c>
      <c r="D39" s="56"/>
      <c r="E39" s="56" t="s">
        <v>1544</v>
      </c>
      <c r="F39" s="56" t="s">
        <v>1545</v>
      </c>
      <c r="G39" s="56" t="s">
        <v>1542</v>
      </c>
      <c r="I39" t="s">
        <v>1542</v>
      </c>
      <c r="K39" s="56" t="s">
        <v>1546</v>
      </c>
    </row>
    <row r="40" spans="1:11" x14ac:dyDescent="0.25">
      <c r="A40" s="56" t="s">
        <v>1547</v>
      </c>
      <c r="B40" s="12"/>
      <c r="C40" s="12"/>
      <c r="D40" s="12"/>
      <c r="E40" s="12"/>
      <c r="F40" s="56" t="s">
        <v>1548</v>
      </c>
      <c r="G40" s="56" t="s">
        <v>1547</v>
      </c>
      <c r="I40" t="s">
        <v>1547</v>
      </c>
      <c r="K40" s="56" t="s">
        <v>1549</v>
      </c>
    </row>
    <row r="41" spans="1:11" x14ac:dyDescent="0.25">
      <c r="A41" s="56" t="s">
        <v>1550</v>
      </c>
      <c r="G41" s="56" t="s">
        <v>1550</v>
      </c>
      <c r="I41" t="s">
        <v>1550</v>
      </c>
    </row>
    <row r="42" spans="1:11" x14ac:dyDescent="0.25">
      <c r="A42" s="56" t="s">
        <v>1551</v>
      </c>
      <c r="F42" s="12"/>
      <c r="G42" s="56" t="s">
        <v>1551</v>
      </c>
      <c r="I42" t="s">
        <v>1551</v>
      </c>
    </row>
    <row r="43" spans="1:11" x14ac:dyDescent="0.25">
      <c r="A43" s="56" t="s">
        <v>1552</v>
      </c>
      <c r="F43" s="12"/>
      <c r="G43" s="56" t="s">
        <v>1552</v>
      </c>
      <c r="I43" t="s">
        <v>1552</v>
      </c>
    </row>
    <row r="44" spans="1:11" x14ac:dyDescent="0.25">
      <c r="A44" s="56" t="s">
        <v>1553</v>
      </c>
      <c r="F44" s="12"/>
      <c r="G44" s="56" t="s">
        <v>1553</v>
      </c>
      <c r="I44" t="s">
        <v>1553</v>
      </c>
    </row>
    <row r="45" spans="1:11" x14ac:dyDescent="0.25">
      <c r="A45" s="56" t="s">
        <v>1554</v>
      </c>
      <c r="F45" s="12"/>
      <c r="G45" s="56" t="s">
        <v>1554</v>
      </c>
      <c r="I45" t="s">
        <v>1554</v>
      </c>
    </row>
    <row r="46" spans="1:11" x14ac:dyDescent="0.25">
      <c r="A46" s="56" t="s">
        <v>1555</v>
      </c>
      <c r="F46" s="12"/>
      <c r="G46" s="56" t="s">
        <v>1555</v>
      </c>
      <c r="I46" t="s">
        <v>1555</v>
      </c>
    </row>
    <row r="47" spans="1:11" x14ac:dyDescent="0.25">
      <c r="A47" s="56" t="s">
        <v>1556</v>
      </c>
      <c r="F47" s="12"/>
      <c r="G47" s="56" t="s">
        <v>1556</v>
      </c>
      <c r="I47" t="s">
        <v>1556</v>
      </c>
    </row>
    <row r="48" spans="1:11" x14ac:dyDescent="0.25">
      <c r="A48" s="56" t="s">
        <v>1557</v>
      </c>
      <c r="F48" s="12"/>
      <c r="G48" s="56" t="s">
        <v>1557</v>
      </c>
      <c r="I48" t="s">
        <v>1557</v>
      </c>
    </row>
    <row r="49" spans="1:9" x14ac:dyDescent="0.25">
      <c r="A49" s="56" t="s">
        <v>1558</v>
      </c>
      <c r="F49" s="12"/>
      <c r="G49" s="56" t="s">
        <v>1558</v>
      </c>
      <c r="I49" t="s">
        <v>1558</v>
      </c>
    </row>
    <row r="50" spans="1:9" x14ac:dyDescent="0.25">
      <c r="A50" s="56" t="s">
        <v>1559</v>
      </c>
      <c r="F50" s="12"/>
      <c r="G50" s="56" t="s">
        <v>1559</v>
      </c>
      <c r="I50" t="s">
        <v>1559</v>
      </c>
    </row>
    <row r="51" spans="1:9" x14ac:dyDescent="0.25">
      <c r="A51" s="32" t="s">
        <v>1560</v>
      </c>
      <c r="F51" s="12"/>
      <c r="G51" s="32" t="s">
        <v>1560</v>
      </c>
      <c r="I51" t="s">
        <v>1560</v>
      </c>
    </row>
    <row r="52" spans="1:9" x14ac:dyDescent="0.25">
      <c r="A52" s="56" t="s">
        <v>1561</v>
      </c>
      <c r="F52" s="12"/>
      <c r="G52" s="56" t="s">
        <v>1561</v>
      </c>
      <c r="I52" t="s">
        <v>1561</v>
      </c>
    </row>
    <row r="53" spans="1:9" x14ac:dyDescent="0.25">
      <c r="A53" s="56" t="s">
        <v>1562</v>
      </c>
      <c r="F53" s="12"/>
      <c r="G53" s="56" t="s">
        <v>1562</v>
      </c>
      <c r="I53" t="s">
        <v>1562</v>
      </c>
    </row>
    <row r="54" spans="1:9" x14ac:dyDescent="0.25">
      <c r="A54" s="56" t="s">
        <v>1563</v>
      </c>
      <c r="F54" s="12"/>
      <c r="G54" s="56" t="s">
        <v>1563</v>
      </c>
      <c r="I54" t="s">
        <v>1563</v>
      </c>
    </row>
    <row r="55" spans="1:9" x14ac:dyDescent="0.25">
      <c r="A55" s="56" t="s">
        <v>1564</v>
      </c>
      <c r="F55" s="12"/>
      <c r="G55" s="56" t="s">
        <v>1564</v>
      </c>
      <c r="I55" t="s">
        <v>1564</v>
      </c>
    </row>
    <row r="56" spans="1:9" x14ac:dyDescent="0.25">
      <c r="A56" s="56" t="s">
        <v>1565</v>
      </c>
      <c r="F56" s="12"/>
      <c r="G56" s="56" t="s">
        <v>1565</v>
      </c>
      <c r="I56" t="s">
        <v>1565</v>
      </c>
    </row>
    <row r="57" spans="1:9" x14ac:dyDescent="0.25">
      <c r="A57" s="56" t="s">
        <v>1566</v>
      </c>
      <c r="F57" s="12"/>
      <c r="G57" s="56" t="s">
        <v>1566</v>
      </c>
      <c r="I57" t="s">
        <v>1566</v>
      </c>
    </row>
    <row r="58" spans="1:9" x14ac:dyDescent="0.25">
      <c r="A58" s="56" t="s">
        <v>1567</v>
      </c>
      <c r="F58" s="12"/>
      <c r="G58" s="56" t="s">
        <v>1567</v>
      </c>
      <c r="I58" t="s">
        <v>1567</v>
      </c>
    </row>
    <row r="59" spans="1:9" x14ac:dyDescent="0.25">
      <c r="A59" s="56" t="s">
        <v>1568</v>
      </c>
      <c r="F59" s="12"/>
      <c r="G59" s="56" t="s">
        <v>1568</v>
      </c>
      <c r="I59" t="s">
        <v>1568</v>
      </c>
    </row>
    <row r="60" spans="1:9" x14ac:dyDescent="0.25">
      <c r="A60" s="56" t="s">
        <v>1569</v>
      </c>
      <c r="F60" s="12"/>
      <c r="G60" s="56" t="s">
        <v>1569</v>
      </c>
      <c r="I60" t="s">
        <v>1569</v>
      </c>
    </row>
    <row r="61" spans="1:9" x14ac:dyDescent="0.25">
      <c r="A61" s="56" t="s">
        <v>1570</v>
      </c>
      <c r="F61" s="12"/>
      <c r="G61" s="56" t="s">
        <v>1570</v>
      </c>
      <c r="I61" t="s">
        <v>1570</v>
      </c>
    </row>
    <row r="62" spans="1:9" x14ac:dyDescent="0.25">
      <c r="A62" s="56" t="s">
        <v>1571</v>
      </c>
      <c r="F62" s="12"/>
      <c r="G62" s="56" t="s">
        <v>1571</v>
      </c>
      <c r="I62" t="s">
        <v>1571</v>
      </c>
    </row>
    <row r="63" spans="1:9" x14ac:dyDescent="0.25">
      <c r="A63" s="56" t="s">
        <v>1572</v>
      </c>
      <c r="F63" s="12"/>
      <c r="G63" s="56" t="s">
        <v>1572</v>
      </c>
      <c r="I63" t="s">
        <v>1572</v>
      </c>
    </row>
    <row r="64" spans="1:9" x14ac:dyDescent="0.25">
      <c r="A64" s="56" t="s">
        <v>1573</v>
      </c>
      <c r="F64" s="12"/>
      <c r="G64" s="56" t="s">
        <v>1573</v>
      </c>
      <c r="I64" t="s">
        <v>1573</v>
      </c>
    </row>
    <row r="65" spans="1:9" x14ac:dyDescent="0.25">
      <c r="A65" s="56" t="s">
        <v>1574</v>
      </c>
      <c r="F65" s="12"/>
      <c r="G65" s="56" t="s">
        <v>1574</v>
      </c>
      <c r="I65" t="s">
        <v>1574</v>
      </c>
    </row>
    <row r="66" spans="1:9" x14ac:dyDescent="0.25">
      <c r="A66" s="12" t="s">
        <v>1575</v>
      </c>
      <c r="F66" s="12"/>
      <c r="G66" s="12" t="s">
        <v>1575</v>
      </c>
      <c r="H66" s="12"/>
      <c r="I66" s="12" t="s">
        <v>1576</v>
      </c>
    </row>
    <row r="67" spans="1:9" x14ac:dyDescent="0.25">
      <c r="A67" s="12" t="s">
        <v>1577</v>
      </c>
      <c r="F67" s="12"/>
      <c r="G67" s="12" t="s">
        <v>1577</v>
      </c>
      <c r="H67" s="12"/>
      <c r="I67" s="12" t="s">
        <v>1578</v>
      </c>
    </row>
    <row r="68" spans="1:9" x14ac:dyDescent="0.25">
      <c r="A68" s="56" t="s">
        <v>1579</v>
      </c>
      <c r="F68" s="12"/>
      <c r="G68" s="56" t="s">
        <v>1579</v>
      </c>
      <c r="I68" t="s">
        <v>1579</v>
      </c>
    </row>
    <row r="69" spans="1:9" x14ac:dyDescent="0.25">
      <c r="F69" s="12"/>
    </row>
    <row r="70" spans="1:9" x14ac:dyDescent="0.25">
      <c r="B70" s="35">
        <v>8</v>
      </c>
      <c r="C70" s="35" t="s">
        <v>1580</v>
      </c>
      <c r="D70" s="35" t="s">
        <v>1581</v>
      </c>
      <c r="E70" s="35" t="s">
        <v>1582</v>
      </c>
      <c r="F70" s="35" t="s">
        <v>1583</v>
      </c>
    </row>
    <row r="72" spans="1:9" x14ac:dyDescent="0.25">
      <c r="B72" s="52">
        <v>3</v>
      </c>
      <c r="C72" s="52" t="s">
        <v>1584</v>
      </c>
      <c r="D72" s="52" t="s">
        <v>1585</v>
      </c>
      <c r="E72" s="52" t="s">
        <v>1586</v>
      </c>
      <c r="F72" s="52" t="s">
        <v>1587</v>
      </c>
    </row>
    <row r="73" spans="1:9" x14ac:dyDescent="0.25">
      <c r="D73" s="52" t="s">
        <v>1588</v>
      </c>
    </row>
    <row r="75" spans="1:9" x14ac:dyDescent="0.25">
      <c r="B75" s="57">
        <v>5</v>
      </c>
      <c r="C75" s="57" t="s">
        <v>1589</v>
      </c>
      <c r="D75" s="57" t="s">
        <v>1590</v>
      </c>
      <c r="E75" s="57" t="s">
        <v>1591</v>
      </c>
      <c r="F75" s="57" t="s">
        <v>1592</v>
      </c>
    </row>
    <row r="85" spans="1:9" x14ac:dyDescent="0.25">
      <c r="A85" s="42" t="s">
        <v>1593</v>
      </c>
      <c r="B85" s="42">
        <v>4</v>
      </c>
      <c r="C85" s="42" t="s">
        <v>1594</v>
      </c>
      <c r="D85" s="42" t="s">
        <v>1590</v>
      </c>
      <c r="E85" s="42" t="s">
        <v>1595</v>
      </c>
      <c r="F85" s="42" t="s">
        <v>1596</v>
      </c>
      <c r="G85" s="42" t="s">
        <v>1593</v>
      </c>
      <c r="I85" t="s">
        <v>1593</v>
      </c>
    </row>
    <row r="86" spans="1:9" x14ac:dyDescent="0.25">
      <c r="A86" s="42" t="s">
        <v>1597</v>
      </c>
      <c r="G86" s="42" t="s">
        <v>1597</v>
      </c>
      <c r="I86" t="s">
        <v>1597</v>
      </c>
    </row>
    <row r="87" spans="1:9" x14ac:dyDescent="0.25">
      <c r="A87" s="42" t="s">
        <v>1598</v>
      </c>
      <c r="G87" s="42" t="s">
        <v>1598</v>
      </c>
      <c r="I87" t="s">
        <v>1598</v>
      </c>
    </row>
    <row r="88" spans="1:9" x14ac:dyDescent="0.25">
      <c r="A88" s="42" t="s">
        <v>1599</v>
      </c>
      <c r="G88" s="42" t="s">
        <v>1599</v>
      </c>
      <c r="I88" t="s">
        <v>1599</v>
      </c>
    </row>
    <row r="89" spans="1:9" x14ac:dyDescent="0.25">
      <c r="A89" s="42" t="s">
        <v>1600</v>
      </c>
      <c r="G89" s="42" t="s">
        <v>1600</v>
      </c>
      <c r="I89" t="s">
        <v>1600</v>
      </c>
    </row>
    <row r="90" spans="1:9" x14ac:dyDescent="0.25">
      <c r="A90" s="42" t="s">
        <v>1601</v>
      </c>
      <c r="G90" s="42" t="s">
        <v>1601</v>
      </c>
      <c r="I90" t="s">
        <v>1601</v>
      </c>
    </row>
    <row r="91" spans="1:9" x14ac:dyDescent="0.25">
      <c r="A91" s="42" t="s">
        <v>1602</v>
      </c>
      <c r="G91" s="42" t="s">
        <v>1602</v>
      </c>
      <c r="I91" t="s">
        <v>1602</v>
      </c>
    </row>
    <row r="92" spans="1:9" x14ac:dyDescent="0.25">
      <c r="A92" s="42" t="s">
        <v>1603</v>
      </c>
      <c r="G92" s="42" t="s">
        <v>1603</v>
      </c>
      <c r="I92" t="s">
        <v>1603</v>
      </c>
    </row>
    <row r="93" spans="1:9" x14ac:dyDescent="0.25">
      <c r="A93" s="42" t="s">
        <v>1604</v>
      </c>
      <c r="G93" s="42" t="s">
        <v>1604</v>
      </c>
      <c r="I93" t="s">
        <v>1604</v>
      </c>
    </row>
    <row r="94" spans="1:9" x14ac:dyDescent="0.25">
      <c r="A94" s="42" t="s">
        <v>1605</v>
      </c>
      <c r="G94" s="42" t="s">
        <v>1605</v>
      </c>
      <c r="I94" t="s">
        <v>1605</v>
      </c>
    </row>
    <row r="95" spans="1:9" x14ac:dyDescent="0.25">
      <c r="A95" s="42" t="s">
        <v>1606</v>
      </c>
      <c r="G95" s="42" t="s">
        <v>1606</v>
      </c>
      <c r="I95" t="s">
        <v>1606</v>
      </c>
    </row>
    <row r="96" spans="1:9" x14ac:dyDescent="0.25">
      <c r="A96" s="42" t="s">
        <v>1607</v>
      </c>
      <c r="G96" s="42" t="s">
        <v>1607</v>
      </c>
      <c r="I96" t="s">
        <v>1607</v>
      </c>
    </row>
    <row r="97" spans="1:9" x14ac:dyDescent="0.25">
      <c r="A97" s="42" t="s">
        <v>1608</v>
      </c>
      <c r="G97" s="42" t="s">
        <v>1608</v>
      </c>
      <c r="I97" t="s">
        <v>1608</v>
      </c>
    </row>
    <row r="98" spans="1:9" x14ac:dyDescent="0.25">
      <c r="A98" s="42" t="s">
        <v>1609</v>
      </c>
      <c r="G98" s="42" t="s">
        <v>1609</v>
      </c>
      <c r="I98" t="s">
        <v>1609</v>
      </c>
    </row>
    <row r="99" spans="1:9" x14ac:dyDescent="0.25">
      <c r="A99" s="42" t="s">
        <v>1610</v>
      </c>
      <c r="G99" s="42" t="s">
        <v>1610</v>
      </c>
      <c r="I99" t="s">
        <v>1610</v>
      </c>
    </row>
    <row r="100" spans="1:9" x14ac:dyDescent="0.25">
      <c r="A100" s="42" t="s">
        <v>1611</v>
      </c>
      <c r="G100" s="42" t="s">
        <v>1611</v>
      </c>
      <c r="I100" t="s">
        <v>1611</v>
      </c>
    </row>
    <row r="101" spans="1:9" x14ac:dyDescent="0.25">
      <c r="A101" s="42" t="s">
        <v>1612</v>
      </c>
      <c r="G101" s="42" t="s">
        <v>1612</v>
      </c>
      <c r="I101" t="s">
        <v>1612</v>
      </c>
    </row>
    <row r="102" spans="1:9" x14ac:dyDescent="0.25">
      <c r="A102" s="42" t="s">
        <v>1613</v>
      </c>
      <c r="G102" s="42" t="s">
        <v>1613</v>
      </c>
      <c r="I102" t="s">
        <v>1613</v>
      </c>
    </row>
    <row r="103" spans="1:9" x14ac:dyDescent="0.25">
      <c r="A103" s="42" t="s">
        <v>1614</v>
      </c>
      <c r="G103" s="42" t="s">
        <v>1614</v>
      </c>
      <c r="I103" t="s">
        <v>1614</v>
      </c>
    </row>
    <row r="104" spans="1:9" x14ac:dyDescent="0.25">
      <c r="A104" s="42" t="s">
        <v>1615</v>
      </c>
      <c r="G104" s="42" t="s">
        <v>1615</v>
      </c>
      <c r="I104" t="s">
        <v>1615</v>
      </c>
    </row>
    <row r="105" spans="1:9" x14ac:dyDescent="0.25">
      <c r="A105" s="42" t="s">
        <v>1616</v>
      </c>
      <c r="G105" s="42" t="s">
        <v>1616</v>
      </c>
      <c r="I105" t="s">
        <v>1616</v>
      </c>
    </row>
    <row r="106" spans="1:9" x14ac:dyDescent="0.25">
      <c r="A106" s="42" t="s">
        <v>1617</v>
      </c>
      <c r="G106" s="42" t="s">
        <v>1617</v>
      </c>
      <c r="I106" t="s">
        <v>1617</v>
      </c>
    </row>
    <row r="107" spans="1:9" x14ac:dyDescent="0.25">
      <c r="A107" s="42" t="s">
        <v>1618</v>
      </c>
      <c r="G107" s="42" t="s">
        <v>1618</v>
      </c>
      <c r="I107" t="s">
        <v>1618</v>
      </c>
    </row>
    <row r="108" spans="1:9" x14ac:dyDescent="0.25">
      <c r="A108" s="42" t="s">
        <v>1619</v>
      </c>
      <c r="G108" s="42" t="s">
        <v>1619</v>
      </c>
      <c r="I108" t="s">
        <v>1619</v>
      </c>
    </row>
    <row r="109" spans="1:9" x14ac:dyDescent="0.25">
      <c r="A109" s="42" t="s">
        <v>1620</v>
      </c>
      <c r="G109" s="42" t="s">
        <v>1620</v>
      </c>
      <c r="I109" t="s">
        <v>1620</v>
      </c>
    </row>
    <row r="110" spans="1:9" x14ac:dyDescent="0.25">
      <c r="A110" s="42" t="s">
        <v>1621</v>
      </c>
      <c r="G110" s="42" t="s">
        <v>1621</v>
      </c>
      <c r="I110" t="s">
        <v>1621</v>
      </c>
    </row>
    <row r="111" spans="1:9" x14ac:dyDescent="0.25">
      <c r="A111" s="42" t="s">
        <v>1622</v>
      </c>
      <c r="G111" s="42" t="s">
        <v>1622</v>
      </c>
      <c r="I111" t="s">
        <v>1622</v>
      </c>
    </row>
    <row r="112" spans="1:9" x14ac:dyDescent="0.25">
      <c r="A112" s="42" t="s">
        <v>1623</v>
      </c>
      <c r="G112" s="42" t="s">
        <v>1623</v>
      </c>
      <c r="I112" t="s">
        <v>1623</v>
      </c>
    </row>
    <row r="113" spans="1:9" x14ac:dyDescent="0.25">
      <c r="A113" s="42" t="s">
        <v>1624</v>
      </c>
      <c r="G113" s="42" t="s">
        <v>1624</v>
      </c>
      <c r="I113" t="s">
        <v>1624</v>
      </c>
    </row>
    <row r="114" spans="1:9" x14ac:dyDescent="0.25">
      <c r="A114" s="42" t="s">
        <v>1625</v>
      </c>
      <c r="G114" s="42" t="s">
        <v>1625</v>
      </c>
      <c r="I114" t="s">
        <v>1625</v>
      </c>
    </row>
    <row r="115" spans="1:9" x14ac:dyDescent="0.25">
      <c r="A115" s="42" t="s">
        <v>1626</v>
      </c>
      <c r="G115" s="42" t="s">
        <v>1626</v>
      </c>
      <c r="I115" t="s">
        <v>1626</v>
      </c>
    </row>
    <row r="116" spans="1:9" x14ac:dyDescent="0.25">
      <c r="A116" s="42" t="s">
        <v>1627</v>
      </c>
      <c r="G116" s="42" t="s">
        <v>1627</v>
      </c>
      <c r="I116" t="s">
        <v>1627</v>
      </c>
    </row>
    <row r="117" spans="1:9" x14ac:dyDescent="0.25">
      <c r="A117" s="42" t="s">
        <v>1628</v>
      </c>
      <c r="G117" s="42" t="s">
        <v>1628</v>
      </c>
      <c r="I117" t="s">
        <v>1628</v>
      </c>
    </row>
    <row r="118" spans="1:9" x14ac:dyDescent="0.25">
      <c r="A118" s="42" t="s">
        <v>1629</v>
      </c>
      <c r="G118" s="42" t="s">
        <v>1630</v>
      </c>
      <c r="I118" t="s">
        <v>1630</v>
      </c>
    </row>
    <row r="119" spans="1:9" x14ac:dyDescent="0.25">
      <c r="A119" s="42" t="s">
        <v>1630</v>
      </c>
      <c r="G119" s="42" t="s">
        <v>1631</v>
      </c>
      <c r="I119" t="s">
        <v>1631</v>
      </c>
    </row>
    <row r="120" spans="1:9" x14ac:dyDescent="0.25">
      <c r="A120" s="42" t="s">
        <v>1632</v>
      </c>
      <c r="G120" s="42" t="s">
        <v>1629</v>
      </c>
      <c r="I120" t="s">
        <v>1629</v>
      </c>
    </row>
    <row r="121" spans="1:9" x14ac:dyDescent="0.25">
      <c r="A121" s="42" t="s">
        <v>1633</v>
      </c>
      <c r="G121" s="42" t="s">
        <v>1633</v>
      </c>
      <c r="I121" t="s">
        <v>1633</v>
      </c>
    </row>
    <row r="122" spans="1:9" x14ac:dyDescent="0.25">
      <c r="A122" s="42" t="s">
        <v>1634</v>
      </c>
      <c r="G122" s="42" t="s">
        <v>1634</v>
      </c>
      <c r="I122" t="s">
        <v>1634</v>
      </c>
    </row>
    <row r="123" spans="1:9" x14ac:dyDescent="0.25">
      <c r="A123" s="42" t="s">
        <v>1635</v>
      </c>
      <c r="G123" s="42" t="s">
        <v>1635</v>
      </c>
      <c r="I123" t="s">
        <v>1635</v>
      </c>
    </row>
    <row r="124" spans="1:9" x14ac:dyDescent="0.25">
      <c r="A124" s="42" t="s">
        <v>1636</v>
      </c>
      <c r="G124" s="42" t="s">
        <v>1636</v>
      </c>
      <c r="I124" t="s">
        <v>1636</v>
      </c>
    </row>
    <row r="125" spans="1:9" x14ac:dyDescent="0.25">
      <c r="A125" s="57" t="s">
        <v>1637</v>
      </c>
      <c r="G125" s="57" t="s">
        <v>1637</v>
      </c>
      <c r="I125" t="s">
        <v>1637</v>
      </c>
    </row>
    <row r="126" spans="1:9" x14ac:dyDescent="0.25">
      <c r="A126" s="57" t="s">
        <v>1638</v>
      </c>
      <c r="G126" s="57" t="s">
        <v>1638</v>
      </c>
      <c r="I126" t="s">
        <v>1638</v>
      </c>
    </row>
    <row r="127" spans="1:9" x14ac:dyDescent="0.25">
      <c r="A127" s="57" t="s">
        <v>1639</v>
      </c>
      <c r="G127" s="57" t="s">
        <v>1639</v>
      </c>
      <c r="I127" t="s">
        <v>1639</v>
      </c>
    </row>
    <row r="128" spans="1:9" x14ac:dyDescent="0.25">
      <c r="A128" s="57" t="s">
        <v>1640</v>
      </c>
      <c r="G128" s="57" t="s">
        <v>1640</v>
      </c>
      <c r="I128" t="s">
        <v>1640</v>
      </c>
    </row>
    <row r="129" spans="1:9" x14ac:dyDescent="0.25">
      <c r="A129" s="57" t="s">
        <v>1641</v>
      </c>
      <c r="G129" s="57" t="s">
        <v>1641</v>
      </c>
      <c r="I129" t="s">
        <v>1641</v>
      </c>
    </row>
    <row r="130" spans="1:9" x14ac:dyDescent="0.25">
      <c r="A130" s="57" t="s">
        <v>1642</v>
      </c>
      <c r="G130" s="57" t="s">
        <v>1642</v>
      </c>
      <c r="I130" t="s">
        <v>1642</v>
      </c>
    </row>
    <row r="131" spans="1:9" x14ac:dyDescent="0.25">
      <c r="A131" s="57" t="s">
        <v>1643</v>
      </c>
      <c r="G131" s="57" t="s">
        <v>1643</v>
      </c>
      <c r="I131" t="s">
        <v>1643</v>
      </c>
    </row>
    <row r="132" spans="1:9" x14ac:dyDescent="0.25">
      <c r="A132" s="57" t="s">
        <v>1644</v>
      </c>
      <c r="G132" s="57" t="s">
        <v>1644</v>
      </c>
      <c r="I132" t="s">
        <v>1644</v>
      </c>
    </row>
    <row r="133" spans="1:9" x14ac:dyDescent="0.25">
      <c r="A133" s="57" t="s">
        <v>1645</v>
      </c>
      <c r="G133" s="57" t="s">
        <v>1645</v>
      </c>
      <c r="I133" t="s">
        <v>1645</v>
      </c>
    </row>
    <row r="134" spans="1:9" x14ac:dyDescent="0.25">
      <c r="A134" s="57" t="s">
        <v>1646</v>
      </c>
      <c r="G134" s="57" t="s">
        <v>1646</v>
      </c>
      <c r="I134" t="s">
        <v>1646</v>
      </c>
    </row>
    <row r="135" spans="1:9" x14ac:dyDescent="0.25">
      <c r="A135" s="57" t="s">
        <v>1647</v>
      </c>
      <c r="G135" s="57" t="s">
        <v>1647</v>
      </c>
      <c r="I135" t="s">
        <v>1647</v>
      </c>
    </row>
    <row r="136" spans="1:9" x14ac:dyDescent="0.25">
      <c r="A136" s="57" t="s">
        <v>1648</v>
      </c>
      <c r="G136" s="57" t="s">
        <v>1648</v>
      </c>
      <c r="I136" t="s">
        <v>1648</v>
      </c>
    </row>
    <row r="137" spans="1:9" x14ac:dyDescent="0.25">
      <c r="A137" s="57" t="s">
        <v>1649</v>
      </c>
      <c r="G137" s="57" t="s">
        <v>1649</v>
      </c>
      <c r="I137" t="s">
        <v>1649</v>
      </c>
    </row>
    <row r="138" spans="1:9" x14ac:dyDescent="0.25">
      <c r="A138" s="57" t="s">
        <v>1650</v>
      </c>
      <c r="G138" s="57" t="s">
        <v>1650</v>
      </c>
      <c r="I138" t="s">
        <v>1650</v>
      </c>
    </row>
    <row r="139" spans="1:9" x14ac:dyDescent="0.25">
      <c r="A139" s="57" t="s">
        <v>1651</v>
      </c>
      <c r="G139" s="57" t="s">
        <v>1651</v>
      </c>
      <c r="I139" t="s">
        <v>1651</v>
      </c>
    </row>
    <row r="140" spans="1:9" x14ac:dyDescent="0.25">
      <c r="A140" s="57" t="s">
        <v>1652</v>
      </c>
      <c r="G140" s="57" t="s">
        <v>1652</v>
      </c>
      <c r="I140" t="s">
        <v>1652</v>
      </c>
    </row>
    <row r="141" spans="1:9" x14ac:dyDescent="0.25">
      <c r="A141" s="57" t="s">
        <v>1653</v>
      </c>
      <c r="G141" s="57" t="s">
        <v>1653</v>
      </c>
      <c r="I141" t="s">
        <v>1653</v>
      </c>
    </row>
    <row r="142" spans="1:9" x14ac:dyDescent="0.25">
      <c r="A142" s="57" t="s">
        <v>1654</v>
      </c>
      <c r="G142" s="57" t="s">
        <v>1654</v>
      </c>
      <c r="I142" t="s">
        <v>1654</v>
      </c>
    </row>
    <row r="143" spans="1:9" x14ac:dyDescent="0.25">
      <c r="A143" s="57" t="s">
        <v>1655</v>
      </c>
      <c r="G143" s="57" t="s">
        <v>1655</v>
      </c>
      <c r="I143" t="s">
        <v>1655</v>
      </c>
    </row>
    <row r="144" spans="1:9" x14ac:dyDescent="0.25">
      <c r="A144" s="57" t="s">
        <v>1656</v>
      </c>
      <c r="G144" s="57" t="s">
        <v>1656</v>
      </c>
      <c r="I144" t="s">
        <v>1656</v>
      </c>
    </row>
    <row r="145" spans="1:9" x14ac:dyDescent="0.25">
      <c r="A145" s="57" t="s">
        <v>1657</v>
      </c>
      <c r="G145" s="57" t="s">
        <v>1657</v>
      </c>
      <c r="I145" t="s">
        <v>1657</v>
      </c>
    </row>
    <row r="146" spans="1:9" x14ac:dyDescent="0.25">
      <c r="A146" s="57" t="s">
        <v>1658</v>
      </c>
      <c r="G146" s="57" t="s">
        <v>1658</v>
      </c>
      <c r="I146" t="s">
        <v>1658</v>
      </c>
    </row>
    <row r="147" spans="1:9" x14ac:dyDescent="0.25">
      <c r="A147" s="57" t="s">
        <v>1659</v>
      </c>
      <c r="G147" s="57" t="s">
        <v>1659</v>
      </c>
      <c r="I147" t="s">
        <v>1659</v>
      </c>
    </row>
    <row r="148" spans="1:9" x14ac:dyDescent="0.25">
      <c r="A148" s="57" t="s">
        <v>1660</v>
      </c>
      <c r="G148" s="57" t="s">
        <v>1660</v>
      </c>
      <c r="I148" t="s">
        <v>1660</v>
      </c>
    </row>
    <row r="149" spans="1:9" x14ac:dyDescent="0.25">
      <c r="A149" s="57" t="s">
        <v>1661</v>
      </c>
      <c r="G149" s="57" t="s">
        <v>1661</v>
      </c>
      <c r="I149" t="s">
        <v>1661</v>
      </c>
    </row>
    <row r="150" spans="1:9" x14ac:dyDescent="0.25">
      <c r="A150" s="57" t="s">
        <v>1662</v>
      </c>
      <c r="G150" s="57" t="s">
        <v>1662</v>
      </c>
      <c r="I150" t="s">
        <v>1662</v>
      </c>
    </row>
    <row r="151" spans="1:9" x14ac:dyDescent="0.25">
      <c r="A151" s="57" t="s">
        <v>1663</v>
      </c>
      <c r="G151" s="57" t="s">
        <v>1663</v>
      </c>
      <c r="I151" t="s">
        <v>1663</v>
      </c>
    </row>
    <row r="152" spans="1:9" x14ac:dyDescent="0.25">
      <c r="A152" s="57" t="s">
        <v>1664</v>
      </c>
      <c r="G152" s="57" t="s">
        <v>1664</v>
      </c>
      <c r="I152" t="s">
        <v>1664</v>
      </c>
    </row>
    <row r="153" spans="1:9" x14ac:dyDescent="0.25">
      <c r="A153" s="57" t="s">
        <v>1665</v>
      </c>
      <c r="G153" s="57" t="s">
        <v>1665</v>
      </c>
      <c r="I153" t="s">
        <v>1665</v>
      </c>
    </row>
    <row r="154" spans="1:9" x14ac:dyDescent="0.25">
      <c r="A154" s="57" t="s">
        <v>1666</v>
      </c>
      <c r="G154" s="57" t="s">
        <v>1666</v>
      </c>
      <c r="I154" t="s">
        <v>1666</v>
      </c>
    </row>
    <row r="155" spans="1:9" x14ac:dyDescent="0.25">
      <c r="A155" s="57" t="s">
        <v>1667</v>
      </c>
      <c r="G155" s="57" t="s">
        <v>1667</v>
      </c>
      <c r="I155" t="s">
        <v>1667</v>
      </c>
    </row>
    <row r="156" spans="1:9" x14ac:dyDescent="0.25">
      <c r="A156" s="57" t="s">
        <v>1668</v>
      </c>
      <c r="G156" s="57" t="s">
        <v>1668</v>
      </c>
      <c r="I156" t="s">
        <v>1668</v>
      </c>
    </row>
    <row r="157" spans="1:9" x14ac:dyDescent="0.25">
      <c r="A157" s="57" t="s">
        <v>1669</v>
      </c>
      <c r="G157" s="57" t="s">
        <v>1669</v>
      </c>
      <c r="I157" t="s">
        <v>1669</v>
      </c>
    </row>
    <row r="158" spans="1:9" x14ac:dyDescent="0.25">
      <c r="A158" s="57" t="s">
        <v>1670</v>
      </c>
      <c r="G158" s="57" t="s">
        <v>1670</v>
      </c>
      <c r="I158" t="s">
        <v>1670</v>
      </c>
    </row>
    <row r="159" spans="1:9" x14ac:dyDescent="0.25">
      <c r="A159" s="57" t="s">
        <v>1671</v>
      </c>
      <c r="G159" s="57" t="s">
        <v>1671</v>
      </c>
      <c r="I159" t="s">
        <v>1671</v>
      </c>
    </row>
    <row r="160" spans="1:9" x14ac:dyDescent="0.25">
      <c r="A160" s="57" t="s">
        <v>1672</v>
      </c>
      <c r="G160" s="57" t="s">
        <v>1672</v>
      </c>
      <c r="I160" t="s">
        <v>1672</v>
      </c>
    </row>
    <row r="161" spans="1:9" x14ac:dyDescent="0.25">
      <c r="A161" s="57" t="s">
        <v>1673</v>
      </c>
      <c r="G161" s="57" t="s">
        <v>1673</v>
      </c>
      <c r="I161" t="s">
        <v>1673</v>
      </c>
    </row>
    <row r="162" spans="1:9" x14ac:dyDescent="0.25">
      <c r="A162" s="57" t="s">
        <v>1674</v>
      </c>
      <c r="G162" s="57" t="s">
        <v>1674</v>
      </c>
      <c r="I162" t="s">
        <v>1674</v>
      </c>
    </row>
    <row r="163" spans="1:9" x14ac:dyDescent="0.25">
      <c r="A163" s="57" t="s">
        <v>1675</v>
      </c>
      <c r="G163" s="57" t="s">
        <v>1675</v>
      </c>
      <c r="I163" t="s">
        <v>1675</v>
      </c>
    </row>
    <row r="164" spans="1:9" x14ac:dyDescent="0.25">
      <c r="A164" s="57" t="s">
        <v>1676</v>
      </c>
      <c r="G164" s="57" t="s">
        <v>1676</v>
      </c>
      <c r="I164" t="s">
        <v>1676</v>
      </c>
    </row>
    <row r="165" spans="1:9" x14ac:dyDescent="0.25">
      <c r="A165" s="57" t="s">
        <v>1677</v>
      </c>
      <c r="G165" s="57" t="s">
        <v>1677</v>
      </c>
      <c r="I165" t="s">
        <v>1677</v>
      </c>
    </row>
    <row r="166" spans="1:9" x14ac:dyDescent="0.25">
      <c r="A166" s="57" t="s">
        <v>1678</v>
      </c>
      <c r="G166" s="57" t="s">
        <v>1678</v>
      </c>
      <c r="I166" t="s">
        <v>1678</v>
      </c>
    </row>
    <row r="167" spans="1:9" x14ac:dyDescent="0.25">
      <c r="A167" s="57" t="s">
        <v>1679</v>
      </c>
      <c r="G167" s="57" t="s">
        <v>1679</v>
      </c>
      <c r="I167" t="s">
        <v>1679</v>
      </c>
    </row>
    <row r="168" spans="1:9" x14ac:dyDescent="0.25">
      <c r="A168" s="57" t="s">
        <v>1680</v>
      </c>
      <c r="G168" s="57" t="s">
        <v>1680</v>
      </c>
      <c r="I168" t="s">
        <v>1680</v>
      </c>
    </row>
    <row r="169" spans="1:9" x14ac:dyDescent="0.25">
      <c r="A169" s="57" t="s">
        <v>1681</v>
      </c>
      <c r="G169" s="57" t="s">
        <v>1681</v>
      </c>
      <c r="I169" t="s">
        <v>1681</v>
      </c>
    </row>
    <row r="170" spans="1:9" x14ac:dyDescent="0.25">
      <c r="A170" s="57" t="s">
        <v>1682</v>
      </c>
      <c r="G170" s="57" t="s">
        <v>1682</v>
      </c>
      <c r="I170" t="s">
        <v>1682</v>
      </c>
    </row>
    <row r="171" spans="1:9" x14ac:dyDescent="0.25">
      <c r="A171" s="57" t="s">
        <v>1683</v>
      </c>
      <c r="G171" s="57" t="s">
        <v>1683</v>
      </c>
      <c r="I171" t="s">
        <v>1683</v>
      </c>
    </row>
    <row r="172" spans="1:9" x14ac:dyDescent="0.25">
      <c r="A172" s="57" t="s">
        <v>1684</v>
      </c>
      <c r="G172" s="57" t="s">
        <v>1684</v>
      </c>
      <c r="I172" t="s">
        <v>1684</v>
      </c>
    </row>
    <row r="173" spans="1:9" x14ac:dyDescent="0.25">
      <c r="A173" s="57" t="s">
        <v>1685</v>
      </c>
      <c r="G173" s="57" t="s">
        <v>1685</v>
      </c>
      <c r="I173" t="s">
        <v>1685</v>
      </c>
    </row>
    <row r="174" spans="1:9" x14ac:dyDescent="0.25">
      <c r="A174" s="57" t="s">
        <v>1686</v>
      </c>
      <c r="G174" s="57" t="s">
        <v>1686</v>
      </c>
      <c r="I174" t="s">
        <v>1686</v>
      </c>
    </row>
    <row r="175" spans="1:9" x14ac:dyDescent="0.25">
      <c r="A175" s="57" t="s">
        <v>1687</v>
      </c>
      <c r="G175" s="57" t="s">
        <v>1687</v>
      </c>
      <c r="I175" t="s">
        <v>1687</v>
      </c>
    </row>
    <row r="176" spans="1:9" x14ac:dyDescent="0.25">
      <c r="A176" s="57" t="s">
        <v>1688</v>
      </c>
      <c r="G176" s="57" t="s">
        <v>1688</v>
      </c>
      <c r="I176" t="s">
        <v>1688</v>
      </c>
    </row>
    <row r="177" spans="1:9" x14ac:dyDescent="0.25">
      <c r="A177" s="57" t="s">
        <v>1689</v>
      </c>
      <c r="G177" s="57" t="s">
        <v>1689</v>
      </c>
      <c r="I177" t="s">
        <v>1689</v>
      </c>
    </row>
    <row r="178" spans="1:9" x14ac:dyDescent="0.25">
      <c r="A178" s="57" t="s">
        <v>1690</v>
      </c>
      <c r="G178" s="57" t="s">
        <v>1690</v>
      </c>
      <c r="I178" t="s">
        <v>1690</v>
      </c>
    </row>
    <row r="179" spans="1:9" x14ac:dyDescent="0.25">
      <c r="A179" s="57" t="s">
        <v>1691</v>
      </c>
      <c r="G179" s="57" t="s">
        <v>1691</v>
      </c>
      <c r="I179" t="s">
        <v>1691</v>
      </c>
    </row>
    <row r="180" spans="1:9" x14ac:dyDescent="0.25">
      <c r="A180" s="57" t="s">
        <v>1692</v>
      </c>
      <c r="G180" s="57" t="s">
        <v>1692</v>
      </c>
      <c r="I180" t="s">
        <v>1692</v>
      </c>
    </row>
    <row r="181" spans="1:9" x14ac:dyDescent="0.25">
      <c r="A181" s="57" t="s">
        <v>1693</v>
      </c>
      <c r="G181" s="57" t="s">
        <v>1693</v>
      </c>
      <c r="I181" t="s">
        <v>1693</v>
      </c>
    </row>
    <row r="182" spans="1:9" x14ac:dyDescent="0.25">
      <c r="A182" s="57" t="s">
        <v>1694</v>
      </c>
      <c r="G182" s="57" t="s">
        <v>1694</v>
      </c>
      <c r="I182" t="s">
        <v>1694</v>
      </c>
    </row>
    <row r="183" spans="1:9" x14ac:dyDescent="0.25">
      <c r="A183" s="57" t="s">
        <v>1695</v>
      </c>
      <c r="G183" s="57" t="s">
        <v>1695</v>
      </c>
      <c r="I183" t="s">
        <v>1695</v>
      </c>
    </row>
    <row r="184" spans="1:9" x14ac:dyDescent="0.25">
      <c r="A184" s="57" t="s">
        <v>1696</v>
      </c>
      <c r="G184" s="57" t="s">
        <v>1696</v>
      </c>
      <c r="I184" t="s">
        <v>1696</v>
      </c>
    </row>
    <row r="185" spans="1:9" x14ac:dyDescent="0.25">
      <c r="A185" s="57" t="s">
        <v>1697</v>
      </c>
      <c r="G185" s="57" t="s">
        <v>1697</v>
      </c>
      <c r="I185" t="s">
        <v>1697</v>
      </c>
    </row>
    <row r="186" spans="1:9" x14ac:dyDescent="0.25">
      <c r="A186" s="57" t="s">
        <v>1698</v>
      </c>
      <c r="G186" s="57" t="s">
        <v>1698</v>
      </c>
      <c r="I186" t="s">
        <v>1698</v>
      </c>
    </row>
    <row r="187" spans="1:9" x14ac:dyDescent="0.25">
      <c r="A187" s="57" t="s">
        <v>1699</v>
      </c>
      <c r="G187" s="57" t="s">
        <v>1699</v>
      </c>
      <c r="I187" t="s">
        <v>1699</v>
      </c>
    </row>
    <row r="188" spans="1:9" x14ac:dyDescent="0.25">
      <c r="A188" s="57" t="s">
        <v>1700</v>
      </c>
      <c r="G188" s="57" t="s">
        <v>1700</v>
      </c>
      <c r="I188" t="s">
        <v>1700</v>
      </c>
    </row>
    <row r="189" spans="1:9" x14ac:dyDescent="0.25">
      <c r="A189" s="57" t="s">
        <v>1701</v>
      </c>
      <c r="G189" s="57" t="s">
        <v>1701</v>
      </c>
      <c r="I189" t="s">
        <v>1701</v>
      </c>
    </row>
    <row r="190" spans="1:9" x14ac:dyDescent="0.25">
      <c r="A190" s="57" t="s">
        <v>1702</v>
      </c>
      <c r="G190" s="57" t="s">
        <v>1702</v>
      </c>
      <c r="I190" t="s">
        <v>1702</v>
      </c>
    </row>
    <row r="191" spans="1:9" x14ac:dyDescent="0.25">
      <c r="A191" s="57" t="s">
        <v>1703</v>
      </c>
      <c r="G191" s="57" t="s">
        <v>1703</v>
      </c>
      <c r="I191" t="s">
        <v>1703</v>
      </c>
    </row>
    <row r="192" spans="1:9" x14ac:dyDescent="0.25">
      <c r="A192" s="57" t="s">
        <v>1704</v>
      </c>
      <c r="G192" s="57" t="s">
        <v>1704</v>
      </c>
      <c r="I192" t="s">
        <v>1704</v>
      </c>
    </row>
    <row r="193" spans="1:9" x14ac:dyDescent="0.25">
      <c r="A193" s="57" t="s">
        <v>1705</v>
      </c>
      <c r="G193" s="57" t="s">
        <v>1705</v>
      </c>
      <c r="I193" t="s">
        <v>1705</v>
      </c>
    </row>
    <row r="194" spans="1:9" x14ac:dyDescent="0.25">
      <c r="A194" s="57" t="s">
        <v>1706</v>
      </c>
      <c r="G194" s="57" t="s">
        <v>1706</v>
      </c>
      <c r="I194" t="s">
        <v>1706</v>
      </c>
    </row>
    <row r="195" spans="1:9" x14ac:dyDescent="0.25">
      <c r="A195" s="57" t="s">
        <v>1707</v>
      </c>
      <c r="G195" s="57" t="s">
        <v>1707</v>
      </c>
      <c r="I195" t="s">
        <v>1707</v>
      </c>
    </row>
    <row r="196" spans="1:9" x14ac:dyDescent="0.25">
      <c r="A196" s="57" t="s">
        <v>1708</v>
      </c>
      <c r="G196" s="57" t="s">
        <v>1708</v>
      </c>
      <c r="I196" t="s">
        <v>1708</v>
      </c>
    </row>
    <row r="197" spans="1:9" x14ac:dyDescent="0.25">
      <c r="A197" s="57" t="s">
        <v>1709</v>
      </c>
      <c r="G197" s="57" t="s">
        <v>1709</v>
      </c>
      <c r="I197" t="s">
        <v>1709</v>
      </c>
    </row>
    <row r="198" spans="1:9" x14ac:dyDescent="0.25">
      <c r="A198" s="57" t="s">
        <v>1710</v>
      </c>
      <c r="G198" s="57" t="s">
        <v>1710</v>
      </c>
      <c r="I198" t="s">
        <v>1710</v>
      </c>
    </row>
    <row r="199" spans="1:9" x14ac:dyDescent="0.25">
      <c r="A199" s="57" t="s">
        <v>1711</v>
      </c>
      <c r="G199" s="57" t="s">
        <v>1711</v>
      </c>
      <c r="I199" t="s">
        <v>1711</v>
      </c>
    </row>
    <row r="200" spans="1:9" x14ac:dyDescent="0.25">
      <c r="A200" s="57" t="s">
        <v>1712</v>
      </c>
      <c r="G200" s="57" t="s">
        <v>1712</v>
      </c>
      <c r="I200" t="s">
        <v>1712</v>
      </c>
    </row>
    <row r="201" spans="1:9" x14ac:dyDescent="0.25">
      <c r="A201" s="57" t="s">
        <v>1713</v>
      </c>
      <c r="G201" s="57" t="s">
        <v>1713</v>
      </c>
      <c r="I201" t="s">
        <v>1713</v>
      </c>
    </row>
    <row r="202" spans="1:9" x14ac:dyDescent="0.25">
      <c r="A202" s="57" t="s">
        <v>1714</v>
      </c>
      <c r="G202" s="57" t="s">
        <v>1714</v>
      </c>
      <c r="I202" t="s">
        <v>1714</v>
      </c>
    </row>
    <row r="203" spans="1:9" x14ac:dyDescent="0.25">
      <c r="A203" s="57" t="s">
        <v>1715</v>
      </c>
      <c r="G203" s="57" t="s">
        <v>1715</v>
      </c>
      <c r="I203" t="s">
        <v>1715</v>
      </c>
    </row>
    <row r="204" spans="1:9" x14ac:dyDescent="0.25">
      <c r="A204" s="57" t="s">
        <v>1716</v>
      </c>
      <c r="G204" s="57" t="s">
        <v>1716</v>
      </c>
      <c r="I204" t="s">
        <v>1716</v>
      </c>
    </row>
    <row r="205" spans="1:9" x14ac:dyDescent="0.25">
      <c r="A205" s="57" t="s">
        <v>1717</v>
      </c>
      <c r="G205" s="57" t="s">
        <v>1717</v>
      </c>
      <c r="I205" t="s">
        <v>1717</v>
      </c>
    </row>
    <row r="206" spans="1:9" x14ac:dyDescent="0.25">
      <c r="A206" s="57" t="s">
        <v>1718</v>
      </c>
      <c r="G206" s="57" t="s">
        <v>1718</v>
      </c>
      <c r="I206" t="s">
        <v>1718</v>
      </c>
    </row>
    <row r="207" spans="1:9" x14ac:dyDescent="0.25">
      <c r="A207" s="57" t="s">
        <v>1719</v>
      </c>
      <c r="G207" s="57" t="s">
        <v>1719</v>
      </c>
      <c r="I207" t="s">
        <v>1719</v>
      </c>
    </row>
    <row r="208" spans="1:9" x14ac:dyDescent="0.25">
      <c r="A208" s="57" t="s">
        <v>1720</v>
      </c>
      <c r="G208" s="57" t="s">
        <v>1720</v>
      </c>
      <c r="I208" t="s">
        <v>1720</v>
      </c>
    </row>
    <row r="209" spans="1:9" x14ac:dyDescent="0.25">
      <c r="A209" s="57" t="s">
        <v>1721</v>
      </c>
      <c r="G209" s="57" t="s">
        <v>1721</v>
      </c>
      <c r="I209" t="s">
        <v>1721</v>
      </c>
    </row>
    <row r="210" spans="1:9" x14ac:dyDescent="0.25">
      <c r="A210" s="57" t="s">
        <v>1722</v>
      </c>
      <c r="G210" s="57" t="s">
        <v>1722</v>
      </c>
      <c r="I210" t="s">
        <v>1722</v>
      </c>
    </row>
    <row r="211" spans="1:9" x14ac:dyDescent="0.25">
      <c r="A211" s="57" t="s">
        <v>1723</v>
      </c>
      <c r="G211" s="57" t="s">
        <v>1723</v>
      </c>
      <c r="I211" t="s">
        <v>1723</v>
      </c>
    </row>
    <row r="212" spans="1:9" x14ac:dyDescent="0.25">
      <c r="A212" s="57" t="s">
        <v>1724</v>
      </c>
      <c r="G212" s="57" t="s">
        <v>1724</v>
      </c>
      <c r="I212" t="s">
        <v>1724</v>
      </c>
    </row>
    <row r="213" spans="1:9" x14ac:dyDescent="0.25">
      <c r="A213" s="57" t="s">
        <v>1725</v>
      </c>
      <c r="G213" s="57" t="s">
        <v>1725</v>
      </c>
      <c r="I213" t="s">
        <v>1725</v>
      </c>
    </row>
    <row r="214" spans="1:9" x14ac:dyDescent="0.25">
      <c r="A214" s="57" t="s">
        <v>1726</v>
      </c>
      <c r="G214" s="57" t="s">
        <v>1726</v>
      </c>
      <c r="I214" t="s">
        <v>1726</v>
      </c>
    </row>
    <row r="215" spans="1:9" x14ac:dyDescent="0.25">
      <c r="A215" s="57" t="s">
        <v>1727</v>
      </c>
      <c r="G215" s="57" t="s">
        <v>1727</v>
      </c>
      <c r="I215" t="s">
        <v>1727</v>
      </c>
    </row>
    <row r="216" spans="1:9" x14ac:dyDescent="0.25">
      <c r="A216" s="57" t="s">
        <v>1728</v>
      </c>
      <c r="G216" s="57" t="s">
        <v>1728</v>
      </c>
      <c r="I216" t="s">
        <v>1728</v>
      </c>
    </row>
    <row r="217" spans="1:9" x14ac:dyDescent="0.25">
      <c r="A217" s="57" t="s">
        <v>1729</v>
      </c>
      <c r="G217" s="57" t="s">
        <v>1729</v>
      </c>
      <c r="I217" t="s">
        <v>1729</v>
      </c>
    </row>
    <row r="218" spans="1:9" x14ac:dyDescent="0.25">
      <c r="A218" s="57" t="s">
        <v>1730</v>
      </c>
      <c r="G218" s="57" t="s">
        <v>1730</v>
      </c>
      <c r="I218" t="s">
        <v>1730</v>
      </c>
    </row>
    <row r="219" spans="1:9" x14ac:dyDescent="0.25">
      <c r="A219" s="57" t="s">
        <v>1731</v>
      </c>
      <c r="G219" s="57" t="s">
        <v>1731</v>
      </c>
      <c r="I219" t="s">
        <v>1731</v>
      </c>
    </row>
    <row r="220" spans="1:9" x14ac:dyDescent="0.25">
      <c r="A220" s="57" t="s">
        <v>1732</v>
      </c>
      <c r="G220" s="57" t="s">
        <v>1732</v>
      </c>
      <c r="I220" t="s">
        <v>1732</v>
      </c>
    </row>
    <row r="222" spans="1:9" x14ac:dyDescent="0.25">
      <c r="B222" s="20">
        <v>0</v>
      </c>
      <c r="C222" s="20" t="s">
        <v>1733</v>
      </c>
      <c r="D222" s="20"/>
      <c r="E222" s="20" t="s">
        <v>1734</v>
      </c>
      <c r="F222" s="20" t="s">
        <v>1735</v>
      </c>
    </row>
  </sheetData>
  <hyperlinks>
    <hyperlink ref="A1" location="contents!A1" display="Contents" xr:uid="{00000000-0004-0000-0A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93"/>
  <sheetViews>
    <sheetView topLeftCell="A19" zoomScaleNormal="100" workbookViewId="0">
      <selection activeCell="E40" sqref="E40"/>
    </sheetView>
  </sheetViews>
  <sheetFormatPr defaultColWidth="8.7109375" defaultRowHeight="15" x14ac:dyDescent="0.25"/>
  <cols>
    <col min="1" max="1" width="33.5703125" customWidth="1"/>
    <col min="2" max="2" width="12.5703125" customWidth="1"/>
    <col min="3" max="3" width="33.85546875" customWidth="1"/>
    <col min="4" max="4" width="54" customWidth="1"/>
    <col min="5" max="5" width="87.85546875" customWidth="1"/>
    <col min="6" max="6" width="51.5703125" customWidth="1"/>
    <col min="7" max="7" width="19.5703125" customWidth="1"/>
    <col min="8" max="8" width="20.85546875" customWidth="1"/>
    <col min="9" max="9" width="26.140625" customWidth="1"/>
    <col min="10" max="10" width="20.42578125" customWidth="1"/>
    <col min="11" max="11" width="28.42578125" customWidth="1"/>
    <col min="12" max="12" width="20.5703125" customWidth="1"/>
    <col min="13" max="13" width="23.7109375" customWidth="1"/>
  </cols>
  <sheetData>
    <row r="1" spans="1:13" x14ac:dyDescent="0.25">
      <c r="A1" s="2" t="s">
        <v>0</v>
      </c>
    </row>
    <row r="2" spans="1:13" x14ac:dyDescent="0.25">
      <c r="A2" s="1" t="s">
        <v>17</v>
      </c>
    </row>
    <row r="3" spans="1:13" x14ac:dyDescent="0.25">
      <c r="A3" s="1" t="s">
        <v>884</v>
      </c>
      <c r="B3" s="1" t="s">
        <v>885</v>
      </c>
      <c r="C3" s="1" t="s">
        <v>886</v>
      </c>
      <c r="D3" s="1" t="s">
        <v>887</v>
      </c>
      <c r="E3" s="1" t="s">
        <v>888</v>
      </c>
      <c r="F3" s="1" t="s">
        <v>889</v>
      </c>
      <c r="G3" s="1" t="s">
        <v>1736</v>
      </c>
      <c r="H3" s="1" t="s">
        <v>1737</v>
      </c>
      <c r="I3" s="1" t="s">
        <v>1738</v>
      </c>
      <c r="J3" s="1" t="s">
        <v>893</v>
      </c>
      <c r="K3" s="1" t="s">
        <v>1739</v>
      </c>
      <c r="L3" s="1" t="s">
        <v>1740</v>
      </c>
    </row>
    <row r="4" spans="1:13" x14ac:dyDescent="0.25">
      <c r="G4" s="24" t="s">
        <v>900</v>
      </c>
      <c r="H4" s="24" t="s">
        <v>900</v>
      </c>
      <c r="I4" t="s">
        <v>900</v>
      </c>
      <c r="K4" t="s">
        <v>900</v>
      </c>
      <c r="L4" t="s">
        <v>900</v>
      </c>
    </row>
    <row r="5" spans="1:13" x14ac:dyDescent="0.25">
      <c r="G5" s="24" t="s">
        <v>910</v>
      </c>
      <c r="H5" s="24" t="s">
        <v>910</v>
      </c>
      <c r="I5" t="s">
        <v>910</v>
      </c>
      <c r="K5" t="s">
        <v>910</v>
      </c>
      <c r="L5" t="s">
        <v>910</v>
      </c>
    </row>
    <row r="6" spans="1:13" x14ac:dyDescent="0.25">
      <c r="G6" s="24" t="s">
        <v>917</v>
      </c>
      <c r="H6" s="24" t="s">
        <v>917</v>
      </c>
      <c r="I6" t="s">
        <v>917</v>
      </c>
      <c r="K6" t="s">
        <v>917</v>
      </c>
      <c r="L6" t="s">
        <v>917</v>
      </c>
    </row>
    <row r="7" spans="1:13" x14ac:dyDescent="0.25">
      <c r="G7" s="24" t="s">
        <v>1065</v>
      </c>
      <c r="H7" s="24" t="s">
        <v>1065</v>
      </c>
      <c r="I7" t="s">
        <v>1065</v>
      </c>
      <c r="K7" t="s">
        <v>1065</v>
      </c>
      <c r="L7" t="s">
        <v>1065</v>
      </c>
    </row>
    <row r="8" spans="1:13" x14ac:dyDescent="0.25">
      <c r="G8" t="s">
        <v>1069</v>
      </c>
      <c r="H8" t="s">
        <v>1069</v>
      </c>
      <c r="I8" t="s">
        <v>1069</v>
      </c>
      <c r="J8" t="s">
        <v>1741</v>
      </c>
      <c r="K8" t="s">
        <v>1069</v>
      </c>
      <c r="L8" t="s">
        <v>1069</v>
      </c>
    </row>
    <row r="9" spans="1:13" x14ac:dyDescent="0.25">
      <c r="G9" t="s">
        <v>1074</v>
      </c>
      <c r="H9" t="s">
        <v>1074</v>
      </c>
      <c r="I9" t="s">
        <v>1074</v>
      </c>
      <c r="J9" t="s">
        <v>1741</v>
      </c>
      <c r="K9" t="s">
        <v>1074</v>
      </c>
      <c r="L9" t="s">
        <v>1074</v>
      </c>
    </row>
    <row r="10" spans="1:13" x14ac:dyDescent="0.25">
      <c r="B10">
        <v>0</v>
      </c>
      <c r="C10" s="20" t="s">
        <v>1742</v>
      </c>
      <c r="D10" s="20" t="s">
        <v>1743</v>
      </c>
      <c r="E10" s="20" t="s">
        <v>1744</v>
      </c>
      <c r="F10" s="20" t="s">
        <v>1745</v>
      </c>
    </row>
    <row r="11" spans="1:13" x14ac:dyDescent="0.25">
      <c r="F11" s="20" t="s">
        <v>1746</v>
      </c>
    </row>
    <row r="13" spans="1:13" x14ac:dyDescent="0.25">
      <c r="G13" s="24" t="s">
        <v>1027</v>
      </c>
      <c r="H13" s="24" t="s">
        <v>1027</v>
      </c>
      <c r="I13" t="s">
        <v>1027</v>
      </c>
      <c r="J13" t="s">
        <v>1741</v>
      </c>
      <c r="K13" s="1"/>
      <c r="L13" s="1"/>
    </row>
    <row r="14" spans="1:13" x14ac:dyDescent="0.25">
      <c r="A14" s="58" t="s">
        <v>1747</v>
      </c>
      <c r="B14" s="58">
        <v>0</v>
      </c>
      <c r="C14" s="58" t="s">
        <v>1748</v>
      </c>
      <c r="D14" s="58"/>
      <c r="E14" s="58" t="s">
        <v>1749</v>
      </c>
      <c r="F14" s="58" t="s">
        <v>1750</v>
      </c>
      <c r="G14" s="24" t="s">
        <v>1185</v>
      </c>
      <c r="H14" s="24" t="s">
        <v>1185</v>
      </c>
      <c r="I14" t="s">
        <v>1185</v>
      </c>
      <c r="J14" t="s">
        <v>1741</v>
      </c>
      <c r="K14" s="1"/>
      <c r="L14" s="1"/>
    </row>
    <row r="15" spans="1:13" x14ac:dyDescent="0.25">
      <c r="K15" s="1"/>
      <c r="L15" s="1"/>
    </row>
    <row r="16" spans="1:13" x14ac:dyDescent="0.25">
      <c r="A16" s="25" t="s">
        <v>1751</v>
      </c>
      <c r="G16" s="24" t="s">
        <v>1751</v>
      </c>
      <c r="I16" t="s">
        <v>1753</v>
      </c>
      <c r="K16" s="1"/>
      <c r="L16" s="1"/>
      <c r="M16" t="s">
        <v>1754</v>
      </c>
    </row>
    <row r="17" spans="1:13" x14ac:dyDescent="0.25">
      <c r="A17" s="25" t="s">
        <v>1752</v>
      </c>
      <c r="G17" s="25" t="s">
        <v>1752</v>
      </c>
      <c r="I17" t="s">
        <v>342</v>
      </c>
      <c r="J17" t="s">
        <v>1741</v>
      </c>
      <c r="K17" s="1"/>
      <c r="L17" s="1"/>
      <c r="M17" t="s">
        <v>1756</v>
      </c>
    </row>
    <row r="18" spans="1:13" x14ac:dyDescent="0.25">
      <c r="A18" s="25" t="s">
        <v>1755</v>
      </c>
      <c r="G18" s="25" t="s">
        <v>1755</v>
      </c>
      <c r="I18" t="s">
        <v>1758</v>
      </c>
      <c r="K18" s="1"/>
      <c r="L18" s="1"/>
      <c r="M18" t="s">
        <v>1759</v>
      </c>
    </row>
    <row r="19" spans="1:13" x14ac:dyDescent="0.25">
      <c r="A19" s="25" t="s">
        <v>1757</v>
      </c>
      <c r="G19" s="25" t="s">
        <v>1761</v>
      </c>
      <c r="I19" t="s">
        <v>1762</v>
      </c>
      <c r="J19" t="s">
        <v>1741</v>
      </c>
      <c r="K19" s="1"/>
      <c r="L19" s="1"/>
    </row>
    <row r="20" spans="1:13" x14ac:dyDescent="0.25">
      <c r="A20" s="59" t="s">
        <v>1760</v>
      </c>
      <c r="G20" s="59" t="s">
        <v>1760</v>
      </c>
      <c r="I20" t="s">
        <v>1767</v>
      </c>
      <c r="J20" t="s">
        <v>1741</v>
      </c>
      <c r="K20" s="1"/>
      <c r="L20" s="1"/>
    </row>
    <row r="21" spans="1:13" x14ac:dyDescent="0.25">
      <c r="A21" s="43" t="s">
        <v>1763</v>
      </c>
      <c r="B21" s="43">
        <v>1</v>
      </c>
      <c r="C21" s="43" t="s">
        <v>1764</v>
      </c>
      <c r="D21" s="43"/>
      <c r="E21" s="43" t="s">
        <v>1765</v>
      </c>
      <c r="F21" s="43" t="s">
        <v>1766</v>
      </c>
      <c r="G21" s="43" t="s">
        <v>1769</v>
      </c>
      <c r="I21" t="s">
        <v>1770</v>
      </c>
      <c r="J21" t="s">
        <v>1741</v>
      </c>
      <c r="K21" s="1"/>
      <c r="L21" s="1"/>
    </row>
    <row r="22" spans="1:13" x14ac:dyDescent="0.25">
      <c r="A22" s="43" t="s">
        <v>1768</v>
      </c>
      <c r="B22" s="59">
        <v>2</v>
      </c>
      <c r="C22" s="59" t="s">
        <v>1772</v>
      </c>
      <c r="D22" s="59"/>
      <c r="E22" s="59" t="s">
        <v>1773</v>
      </c>
      <c r="F22" s="59" t="s">
        <v>1774</v>
      </c>
      <c r="G22" s="43" t="s">
        <v>1775</v>
      </c>
      <c r="I22" t="s">
        <v>1776</v>
      </c>
      <c r="J22" t="s">
        <v>1741</v>
      </c>
      <c r="K22" s="1"/>
      <c r="L22" s="1"/>
    </row>
    <row r="23" spans="1:13" x14ac:dyDescent="0.25">
      <c r="A23" s="43" t="s">
        <v>1771</v>
      </c>
      <c r="G23" s="43" t="s">
        <v>1778</v>
      </c>
      <c r="I23" t="s">
        <v>1779</v>
      </c>
      <c r="J23" t="s">
        <v>1741</v>
      </c>
      <c r="K23" s="1"/>
      <c r="L23" s="1"/>
    </row>
    <row r="24" spans="1:13" x14ac:dyDescent="0.25">
      <c r="A24" s="43" t="s">
        <v>1777</v>
      </c>
      <c r="B24">
        <v>3</v>
      </c>
      <c r="C24" t="s">
        <v>1781</v>
      </c>
      <c r="E24" t="s">
        <v>4578</v>
      </c>
      <c r="F24" t="s">
        <v>1782</v>
      </c>
      <c r="G24" s="43" t="s">
        <v>1783</v>
      </c>
      <c r="I24" t="s">
        <v>1784</v>
      </c>
      <c r="J24" t="s">
        <v>1741</v>
      </c>
      <c r="K24" s="1"/>
      <c r="L24" s="1"/>
    </row>
    <row r="25" spans="1:13" x14ac:dyDescent="0.25">
      <c r="A25" s="43" t="s">
        <v>4552</v>
      </c>
      <c r="B25">
        <v>3</v>
      </c>
      <c r="C25" t="s">
        <v>4579</v>
      </c>
      <c r="E25" t="s">
        <v>4582</v>
      </c>
      <c r="F25" t="s">
        <v>1782</v>
      </c>
      <c r="G25" s="43" t="s">
        <v>4552</v>
      </c>
      <c r="I25" s="85" t="s">
        <v>4554</v>
      </c>
      <c r="K25" s="1"/>
      <c r="L25" s="1"/>
    </row>
    <row r="26" spans="1:13" x14ac:dyDescent="0.25">
      <c r="A26" s="43" t="s">
        <v>4553</v>
      </c>
      <c r="B26">
        <v>3</v>
      </c>
      <c r="C26" t="s">
        <v>4580</v>
      </c>
      <c r="E26" t="s">
        <v>4585</v>
      </c>
      <c r="F26" t="s">
        <v>4581</v>
      </c>
      <c r="G26" s="43" t="s">
        <v>4553</v>
      </c>
      <c r="I26" s="85" t="s">
        <v>4555</v>
      </c>
      <c r="K26" s="1"/>
      <c r="L26" s="1"/>
    </row>
    <row r="27" spans="1:13" x14ac:dyDescent="0.25">
      <c r="A27" s="25" t="s">
        <v>1780</v>
      </c>
      <c r="G27" s="25" t="s">
        <v>1786</v>
      </c>
      <c r="I27" t="s">
        <v>1787</v>
      </c>
      <c r="K27" s="1"/>
      <c r="L27" s="1"/>
    </row>
    <row r="28" spans="1:13" x14ac:dyDescent="0.25">
      <c r="A28" s="25" t="s">
        <v>1785</v>
      </c>
      <c r="B28">
        <v>4</v>
      </c>
      <c r="C28" t="s">
        <v>1789</v>
      </c>
      <c r="E28" t="s">
        <v>1790</v>
      </c>
      <c r="F28" t="s">
        <v>1791</v>
      </c>
      <c r="G28" s="25" t="s">
        <v>1792</v>
      </c>
      <c r="I28" t="s">
        <v>1793</v>
      </c>
      <c r="K28" s="1"/>
      <c r="L28" s="1"/>
    </row>
    <row r="29" spans="1:13" x14ac:dyDescent="0.25">
      <c r="A29" s="25" t="s">
        <v>1788</v>
      </c>
      <c r="G29" s="25" t="s">
        <v>1795</v>
      </c>
      <c r="I29" t="s">
        <v>1796</v>
      </c>
      <c r="K29" s="1"/>
      <c r="L29" s="1"/>
    </row>
    <row r="30" spans="1:13" x14ac:dyDescent="0.25">
      <c r="A30" s="25" t="s">
        <v>1794</v>
      </c>
      <c r="B30" s="25">
        <v>5</v>
      </c>
      <c r="C30" s="25" t="s">
        <v>1798</v>
      </c>
      <c r="D30" s="25"/>
      <c r="E30" s="25" t="s">
        <v>1799</v>
      </c>
      <c r="F30" s="25" t="s">
        <v>1800</v>
      </c>
      <c r="G30" s="25" t="s">
        <v>1801</v>
      </c>
      <c r="I30" t="s">
        <v>1802</v>
      </c>
      <c r="K30" s="1"/>
      <c r="L30" s="1"/>
    </row>
    <row r="31" spans="1:13" x14ac:dyDescent="0.25">
      <c r="A31" s="25" t="s">
        <v>1797</v>
      </c>
      <c r="G31" s="25" t="s">
        <v>1804</v>
      </c>
      <c r="I31" t="s">
        <v>1805</v>
      </c>
      <c r="K31" s="1"/>
      <c r="L31" s="1"/>
    </row>
    <row r="32" spans="1:13" x14ac:dyDescent="0.25">
      <c r="A32" s="25" t="s">
        <v>1803</v>
      </c>
      <c r="G32" s="25" t="s">
        <v>1807</v>
      </c>
      <c r="I32" t="s">
        <v>1808</v>
      </c>
      <c r="K32" s="1"/>
      <c r="L32" s="1"/>
    </row>
    <row r="33" spans="1:12" x14ac:dyDescent="0.25">
      <c r="A33" s="25" t="s">
        <v>1806</v>
      </c>
      <c r="G33" s="25" t="s">
        <v>1810</v>
      </c>
      <c r="I33" t="s">
        <v>1811</v>
      </c>
      <c r="K33" s="1"/>
      <c r="L33" s="1"/>
    </row>
    <row r="34" spans="1:12" x14ac:dyDescent="0.25">
      <c r="A34" s="25" t="s">
        <v>1809</v>
      </c>
      <c r="G34" s="25" t="s">
        <v>1813</v>
      </c>
      <c r="I34" t="s">
        <v>1814</v>
      </c>
      <c r="K34" s="1"/>
      <c r="L34" s="1"/>
    </row>
    <row r="35" spans="1:12" x14ac:dyDescent="0.25">
      <c r="A35" s="25" t="s">
        <v>1812</v>
      </c>
      <c r="G35" s="25" t="s">
        <v>1816</v>
      </c>
      <c r="I35" t="s">
        <v>1817</v>
      </c>
      <c r="K35" s="1"/>
      <c r="L35" s="1"/>
    </row>
    <row r="36" spans="1:12" x14ac:dyDescent="0.25">
      <c r="A36" s="25" t="s">
        <v>1815</v>
      </c>
      <c r="G36" s="25" t="s">
        <v>1819</v>
      </c>
      <c r="I36" t="s">
        <v>1820</v>
      </c>
      <c r="K36" s="1"/>
      <c r="L36" s="1"/>
    </row>
    <row r="37" spans="1:12" x14ac:dyDescent="0.25">
      <c r="A37" s="25" t="s">
        <v>4550</v>
      </c>
      <c r="G37" s="25" t="s">
        <v>4550</v>
      </c>
      <c r="I37" t="s">
        <v>4551</v>
      </c>
      <c r="K37" s="1"/>
      <c r="L37" s="1"/>
    </row>
    <row r="38" spans="1:12" x14ac:dyDescent="0.25">
      <c r="A38" s="43" t="s">
        <v>1818</v>
      </c>
      <c r="D38" s="60" t="s">
        <v>1198</v>
      </c>
      <c r="G38" s="43" t="s">
        <v>1822</v>
      </c>
      <c r="I38" t="s">
        <v>1823</v>
      </c>
      <c r="K38" s="1"/>
      <c r="L38" s="1"/>
    </row>
    <row r="39" spans="1:12" x14ac:dyDescent="0.25">
      <c r="A39" s="43" t="s">
        <v>1821</v>
      </c>
      <c r="B39" s="12"/>
      <c r="G39" s="43" t="s">
        <v>1824</v>
      </c>
      <c r="I39" t="s">
        <v>1825</v>
      </c>
      <c r="K39" s="1"/>
      <c r="L39" s="1"/>
    </row>
    <row r="40" spans="1:12" x14ac:dyDescent="0.25">
      <c r="A40" s="43" t="s">
        <v>4556</v>
      </c>
      <c r="B40" s="12"/>
      <c r="G40" s="43" t="s">
        <v>4556</v>
      </c>
      <c r="I40" t="s">
        <v>4557</v>
      </c>
      <c r="K40" s="1"/>
      <c r="L40" s="1"/>
    </row>
    <row r="41" spans="1:12" x14ac:dyDescent="0.25">
      <c r="A41" s="12"/>
      <c r="B41" s="20">
        <v>8</v>
      </c>
      <c r="C41" s="20" t="s">
        <v>1055</v>
      </c>
      <c r="D41" s="20"/>
      <c r="E41" s="20" t="s">
        <v>1056</v>
      </c>
      <c r="F41" s="20" t="s">
        <v>1057</v>
      </c>
      <c r="K41" s="1"/>
      <c r="L41" s="1"/>
    </row>
    <row r="42" spans="1:12" x14ac:dyDescent="0.25">
      <c r="A42" s="12"/>
      <c r="B42" s="12"/>
      <c r="C42" s="12"/>
      <c r="D42" s="12"/>
      <c r="E42" s="12"/>
      <c r="F42" s="12"/>
      <c r="G42" s="12"/>
      <c r="K42" s="1"/>
      <c r="L42" s="1"/>
    </row>
    <row r="43" spans="1:12" x14ac:dyDescent="0.25">
      <c r="A43" s="12"/>
      <c r="B43" s="12"/>
      <c r="C43" s="12"/>
      <c r="D43" s="12"/>
      <c r="E43" s="12"/>
      <c r="F43" s="12"/>
      <c r="G43" s="12"/>
      <c r="K43" s="1"/>
      <c r="L43" s="1"/>
    </row>
    <row r="44" spans="1:12" x14ac:dyDescent="0.25">
      <c r="A44" s="12"/>
      <c r="B44" s="20">
        <v>0</v>
      </c>
      <c r="C44" s="20" t="s">
        <v>1826</v>
      </c>
      <c r="D44" s="19"/>
      <c r="E44" s="20" t="s">
        <v>1827</v>
      </c>
      <c r="F44" s="20" t="s">
        <v>1828</v>
      </c>
      <c r="G44" s="12"/>
      <c r="K44" s="1"/>
      <c r="L44" s="1"/>
    </row>
    <row r="45" spans="1:12" x14ac:dyDescent="0.25">
      <c r="K45" s="1"/>
      <c r="L45" s="1"/>
    </row>
    <row r="46" spans="1:12" x14ac:dyDescent="0.25">
      <c r="A46" s="39" t="s">
        <v>1027</v>
      </c>
      <c r="B46" s="39">
        <v>6</v>
      </c>
      <c r="C46" s="39" t="s">
        <v>1829</v>
      </c>
      <c r="D46" s="39"/>
      <c r="E46" s="39" t="s">
        <v>1830</v>
      </c>
      <c r="F46" s="39" t="s">
        <v>1831</v>
      </c>
      <c r="K46" s="39" t="s">
        <v>1027</v>
      </c>
      <c r="L46" t="s">
        <v>1027</v>
      </c>
    </row>
    <row r="47" spans="1:12" x14ac:dyDescent="0.25">
      <c r="A47" t="s">
        <v>1185</v>
      </c>
      <c r="K47" s="52" t="s">
        <v>1185</v>
      </c>
      <c r="L47" t="s">
        <v>1185</v>
      </c>
    </row>
    <row r="48" spans="1:12" x14ac:dyDescent="0.25">
      <c r="A48" s="52" t="s">
        <v>1832</v>
      </c>
      <c r="B48" s="52">
        <v>7</v>
      </c>
      <c r="C48" s="52" t="s">
        <v>1833</v>
      </c>
      <c r="D48" s="52"/>
      <c r="E48" s="52" t="s">
        <v>1834</v>
      </c>
      <c r="F48" s="52" t="s">
        <v>1835</v>
      </c>
      <c r="K48" s="52" t="s">
        <v>1832</v>
      </c>
      <c r="L48" t="s">
        <v>1836</v>
      </c>
    </row>
    <row r="49" spans="1:12" x14ac:dyDescent="0.25">
      <c r="A49" s="52" t="s">
        <v>1837</v>
      </c>
      <c r="K49" s="52" t="s">
        <v>1837</v>
      </c>
      <c r="L49" t="s">
        <v>1838</v>
      </c>
    </row>
    <row r="50" spans="1:12" x14ac:dyDescent="0.25">
      <c r="A50" s="52" t="s">
        <v>1839</v>
      </c>
      <c r="K50" s="52" t="s">
        <v>1839</v>
      </c>
      <c r="L50" t="s">
        <v>1840</v>
      </c>
    </row>
    <row r="51" spans="1:12" x14ac:dyDescent="0.25">
      <c r="A51" s="52" t="s">
        <v>1841</v>
      </c>
      <c r="K51" s="52" t="s">
        <v>1841</v>
      </c>
      <c r="L51" t="s">
        <v>1842</v>
      </c>
    </row>
    <row r="52" spans="1:12" x14ac:dyDescent="0.25">
      <c r="A52" s="52" t="s">
        <v>1843</v>
      </c>
      <c r="K52" s="52" t="s">
        <v>1843</v>
      </c>
      <c r="L52" t="s">
        <v>1844</v>
      </c>
    </row>
    <row r="53" spans="1:12" x14ac:dyDescent="0.25">
      <c r="A53" s="52" t="s">
        <v>1845</v>
      </c>
      <c r="K53" s="52" t="s">
        <v>1845</v>
      </c>
      <c r="L53" t="s">
        <v>1846</v>
      </c>
    </row>
    <row r="54" spans="1:12" x14ac:dyDescent="0.25">
      <c r="A54" s="52" t="s">
        <v>1847</v>
      </c>
      <c r="K54" s="52" t="s">
        <v>1847</v>
      </c>
      <c r="L54" t="s">
        <v>1848</v>
      </c>
    </row>
    <row r="55" spans="1:12" x14ac:dyDescent="0.25">
      <c r="A55" s="52" t="s">
        <v>1849</v>
      </c>
      <c r="K55" s="52" t="s">
        <v>1849</v>
      </c>
      <c r="L55" t="s">
        <v>1850</v>
      </c>
    </row>
    <row r="56" spans="1:12" x14ac:dyDescent="0.25">
      <c r="A56" s="52" t="s">
        <v>1851</v>
      </c>
      <c r="K56" s="52" t="s">
        <v>1851</v>
      </c>
      <c r="L56" t="s">
        <v>1852</v>
      </c>
    </row>
    <row r="57" spans="1:12" x14ac:dyDescent="0.25">
      <c r="A57" s="52" t="s">
        <v>1853</v>
      </c>
      <c r="K57" s="52" t="s">
        <v>1853</v>
      </c>
      <c r="L57" t="s">
        <v>1854</v>
      </c>
    </row>
    <row r="58" spans="1:12" x14ac:dyDescent="0.25">
      <c r="A58" s="52" t="s">
        <v>1855</v>
      </c>
      <c r="K58" s="52" t="s">
        <v>1855</v>
      </c>
      <c r="L58" t="s">
        <v>1856</v>
      </c>
    </row>
    <row r="59" spans="1:12" x14ac:dyDescent="0.25">
      <c r="A59" s="52" t="s">
        <v>1857</v>
      </c>
      <c r="K59" s="52" t="s">
        <v>1857</v>
      </c>
      <c r="L59" t="s">
        <v>1858</v>
      </c>
    </row>
    <row r="60" spans="1:12" x14ac:dyDescent="0.25">
      <c r="A60" s="52" t="s">
        <v>1859</v>
      </c>
      <c r="K60" s="52" t="s">
        <v>1859</v>
      </c>
      <c r="L60" t="s">
        <v>1860</v>
      </c>
    </row>
    <row r="61" spans="1:12" x14ac:dyDescent="0.25">
      <c r="A61" s="52" t="s">
        <v>1861</v>
      </c>
      <c r="K61" s="52" t="s">
        <v>1861</v>
      </c>
      <c r="L61" t="s">
        <v>1862</v>
      </c>
    </row>
    <row r="62" spans="1:12" x14ac:dyDescent="0.25">
      <c r="A62" s="52" t="s">
        <v>1863</v>
      </c>
      <c r="K62" s="52" t="s">
        <v>1863</v>
      </c>
      <c r="L62" t="s">
        <v>1864</v>
      </c>
    </row>
    <row r="63" spans="1:12" x14ac:dyDescent="0.25">
      <c r="A63" s="52" t="s">
        <v>1865</v>
      </c>
      <c r="K63" s="52" t="s">
        <v>1865</v>
      </c>
      <c r="L63" t="s">
        <v>1866</v>
      </c>
    </row>
    <row r="64" spans="1:12" x14ac:dyDescent="0.25">
      <c r="A64" s="52" t="s">
        <v>1867</v>
      </c>
      <c r="K64" s="52" t="s">
        <v>1867</v>
      </c>
      <c r="L64" t="s">
        <v>1868</v>
      </c>
    </row>
    <row r="65" spans="1:12" x14ac:dyDescent="0.25">
      <c r="A65" s="52" t="s">
        <v>1869</v>
      </c>
      <c r="K65" s="52" t="s">
        <v>1869</v>
      </c>
      <c r="L65" t="s">
        <v>1870</v>
      </c>
    </row>
    <row r="66" spans="1:12" x14ac:dyDescent="0.25">
      <c r="A66" s="52" t="s">
        <v>1871</v>
      </c>
      <c r="K66" s="52" t="s">
        <v>1871</v>
      </c>
      <c r="L66" t="s">
        <v>1872</v>
      </c>
    </row>
    <row r="67" spans="1:12" x14ac:dyDescent="0.25">
      <c r="A67" s="52" t="s">
        <v>1873</v>
      </c>
      <c r="K67" s="52" t="s">
        <v>1873</v>
      </c>
      <c r="L67" t="s">
        <v>1874</v>
      </c>
    </row>
    <row r="68" spans="1:12" x14ac:dyDescent="0.25">
      <c r="A68" s="52" t="s">
        <v>1875</v>
      </c>
      <c r="K68" s="52" t="s">
        <v>1875</v>
      </c>
      <c r="L68" t="s">
        <v>1876</v>
      </c>
    </row>
    <row r="69" spans="1:12" x14ac:dyDescent="0.25">
      <c r="A69" s="52" t="s">
        <v>1877</v>
      </c>
      <c r="K69" s="52" t="s">
        <v>1877</v>
      </c>
      <c r="L69" t="s">
        <v>1878</v>
      </c>
    </row>
    <row r="70" spans="1:12" x14ac:dyDescent="0.25">
      <c r="A70" s="52" t="s">
        <v>1530</v>
      </c>
      <c r="K70" s="52" t="s">
        <v>1530</v>
      </c>
      <c r="L70" t="s">
        <v>1531</v>
      </c>
    </row>
    <row r="71" spans="1:12" x14ac:dyDescent="0.25">
      <c r="A71" s="52" t="s">
        <v>1879</v>
      </c>
      <c r="K71" s="52" t="s">
        <v>1879</v>
      </c>
      <c r="L71" t="s">
        <v>1880</v>
      </c>
    </row>
    <row r="72" spans="1:12" x14ac:dyDescent="0.25">
      <c r="A72" s="52" t="s">
        <v>1881</v>
      </c>
      <c r="K72" s="52" t="s">
        <v>1881</v>
      </c>
      <c r="L72" t="s">
        <v>1882</v>
      </c>
    </row>
    <row r="73" spans="1:12" x14ac:dyDescent="0.25">
      <c r="A73" s="52" t="s">
        <v>1883</v>
      </c>
      <c r="K73" s="52" t="s">
        <v>1883</v>
      </c>
      <c r="L73" t="s">
        <v>1884</v>
      </c>
    </row>
    <row r="74" spans="1:12" x14ac:dyDescent="0.25">
      <c r="A74" s="52" t="s">
        <v>1885</v>
      </c>
      <c r="K74" s="52" t="s">
        <v>1885</v>
      </c>
      <c r="L74" t="s">
        <v>1886</v>
      </c>
    </row>
    <row r="75" spans="1:12" x14ac:dyDescent="0.25">
      <c r="A75" s="52" t="s">
        <v>1887</v>
      </c>
      <c r="K75" s="52" t="s">
        <v>1887</v>
      </c>
      <c r="L75" t="s">
        <v>1888</v>
      </c>
    </row>
    <row r="76" spans="1:12" x14ac:dyDescent="0.25">
      <c r="A76" s="52" t="s">
        <v>1889</v>
      </c>
      <c r="K76" s="52" t="s">
        <v>1889</v>
      </c>
      <c r="L76" t="s">
        <v>1890</v>
      </c>
    </row>
    <row r="77" spans="1:12" x14ac:dyDescent="0.25">
      <c r="A77" s="52" t="s">
        <v>1891</v>
      </c>
      <c r="K77" s="52" t="s">
        <v>1891</v>
      </c>
      <c r="L77" t="s">
        <v>1891</v>
      </c>
    </row>
    <row r="78" spans="1:12" x14ac:dyDescent="0.25">
      <c r="A78" s="52" t="s">
        <v>1892</v>
      </c>
      <c r="K78" s="52" t="s">
        <v>1892</v>
      </c>
      <c r="L78" t="s">
        <v>1892</v>
      </c>
    </row>
    <row r="79" spans="1:12" x14ac:dyDescent="0.25">
      <c r="A79" s="52" t="s">
        <v>1893</v>
      </c>
      <c r="K79" s="52" t="s">
        <v>1893</v>
      </c>
      <c r="L79" t="s">
        <v>1894</v>
      </c>
    </row>
    <row r="80" spans="1:12" x14ac:dyDescent="0.25">
      <c r="A80" s="52" t="s">
        <v>1895</v>
      </c>
      <c r="K80" s="52" t="s">
        <v>1895</v>
      </c>
      <c r="L80" t="s">
        <v>1896</v>
      </c>
    </row>
    <row r="81" spans="1:12" x14ac:dyDescent="0.25">
      <c r="A81" s="52" t="s">
        <v>1897</v>
      </c>
      <c r="K81" s="52" t="s">
        <v>1897</v>
      </c>
      <c r="L81" t="s">
        <v>1898</v>
      </c>
    </row>
    <row r="82" spans="1:12" x14ac:dyDescent="0.25">
      <c r="A82" s="52" t="s">
        <v>1899</v>
      </c>
      <c r="K82" s="52" t="s">
        <v>1899</v>
      </c>
      <c r="L82" t="s">
        <v>1900</v>
      </c>
    </row>
    <row r="83" spans="1:12" x14ac:dyDescent="0.25">
      <c r="A83" s="52" t="s">
        <v>1901</v>
      </c>
      <c r="K83" s="52" t="s">
        <v>1901</v>
      </c>
      <c r="L83" t="s">
        <v>1902</v>
      </c>
    </row>
    <row r="84" spans="1:12" x14ac:dyDescent="0.25">
      <c r="A84" s="52" t="s">
        <v>1903</v>
      </c>
      <c r="K84" s="52" t="s">
        <v>1903</v>
      </c>
      <c r="L84" t="s">
        <v>1904</v>
      </c>
    </row>
    <row r="85" spans="1:12" x14ac:dyDescent="0.25">
      <c r="A85" s="52" t="s">
        <v>1905</v>
      </c>
      <c r="K85" s="52" t="s">
        <v>1906</v>
      </c>
      <c r="L85" t="s">
        <v>1906</v>
      </c>
    </row>
    <row r="86" spans="1:12" x14ac:dyDescent="0.25">
      <c r="A86" s="52" t="s">
        <v>1907</v>
      </c>
      <c r="K86" s="52" t="s">
        <v>1905</v>
      </c>
      <c r="L86" t="s">
        <v>1908</v>
      </c>
    </row>
    <row r="87" spans="1:12" x14ac:dyDescent="0.25">
      <c r="A87" s="52" t="s">
        <v>1909</v>
      </c>
      <c r="K87" s="52" t="s">
        <v>1907</v>
      </c>
      <c r="L87" t="s">
        <v>1910</v>
      </c>
    </row>
    <row r="88" spans="1:12" x14ac:dyDescent="0.25">
      <c r="A88" s="52" t="s">
        <v>1911</v>
      </c>
      <c r="K88" s="52" t="s">
        <v>1909</v>
      </c>
      <c r="L88" t="s">
        <v>1912</v>
      </c>
    </row>
    <row r="89" spans="1:12" x14ac:dyDescent="0.25">
      <c r="A89" s="52" t="s">
        <v>1527</v>
      </c>
      <c r="K89" s="52" t="s">
        <v>1911</v>
      </c>
      <c r="L89" t="s">
        <v>1913</v>
      </c>
    </row>
    <row r="90" spans="1:12" x14ac:dyDescent="0.25">
      <c r="A90" s="52" t="s">
        <v>1914</v>
      </c>
      <c r="K90" s="52" t="s">
        <v>1527</v>
      </c>
      <c r="L90" t="s">
        <v>1527</v>
      </c>
    </row>
    <row r="91" spans="1:12" x14ac:dyDescent="0.25">
      <c r="D91" s="61" t="s">
        <v>1198</v>
      </c>
      <c r="K91" s="52" t="s">
        <v>1914</v>
      </c>
      <c r="L91" t="s">
        <v>1915</v>
      </c>
    </row>
    <row r="93" spans="1:12" x14ac:dyDescent="0.25">
      <c r="B93" s="20">
        <v>8</v>
      </c>
      <c r="C93" s="20" t="s">
        <v>1916</v>
      </c>
      <c r="D93" s="20"/>
      <c r="E93" s="20" t="s">
        <v>1917</v>
      </c>
      <c r="F93" s="19" t="s">
        <v>1198</v>
      </c>
    </row>
  </sheetData>
  <hyperlinks>
    <hyperlink ref="A1" location="contents!A1" display="Contents" xr:uid="{00000000-0004-0000-0B00-000000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5"/>
  <sheetViews>
    <sheetView topLeftCell="A52" zoomScaleNormal="100" workbookViewId="0">
      <selection activeCell="E86" sqref="E86"/>
    </sheetView>
  </sheetViews>
  <sheetFormatPr defaultColWidth="9.140625" defaultRowHeight="15" x14ac:dyDescent="0.25"/>
  <cols>
    <col min="1" max="1" width="28.85546875" customWidth="1"/>
    <col min="2" max="2" width="16.42578125" customWidth="1"/>
    <col min="3" max="3" width="22.28515625" customWidth="1"/>
    <col min="4" max="4" width="38.42578125" customWidth="1"/>
    <col min="5" max="5" width="135.5703125" customWidth="1"/>
    <col min="6" max="6" width="48.42578125" customWidth="1"/>
    <col min="7" max="7" width="24" customWidth="1"/>
    <col min="8" max="8" width="19.140625" customWidth="1"/>
    <col min="9" max="9" width="26.5703125" customWidth="1"/>
    <col min="10" max="10" width="20.7109375" customWidth="1"/>
    <col min="11" max="11" width="24.28515625" customWidth="1"/>
    <col min="12" max="12" width="23.7109375" customWidth="1"/>
    <col min="13" max="13" width="25.7109375" customWidth="1"/>
    <col min="14" max="14" width="16.28515625" customWidth="1"/>
    <col min="15" max="15" width="30.42578125" customWidth="1"/>
  </cols>
  <sheetData>
    <row r="1" spans="1:19" x14ac:dyDescent="0.25">
      <c r="A1" s="2" t="s">
        <v>0</v>
      </c>
    </row>
    <row r="2" spans="1:19" x14ac:dyDescent="0.25">
      <c r="A2" s="1" t="s">
        <v>19</v>
      </c>
    </row>
    <row r="3" spans="1:19" x14ac:dyDescent="0.25">
      <c r="A3" s="1" t="s">
        <v>884</v>
      </c>
      <c r="B3" s="1" t="s">
        <v>885</v>
      </c>
      <c r="C3" s="1" t="s">
        <v>886</v>
      </c>
      <c r="D3" s="1" t="s">
        <v>887</v>
      </c>
      <c r="E3" s="1" t="s">
        <v>888</v>
      </c>
      <c r="F3" s="1" t="s">
        <v>889</v>
      </c>
      <c r="G3" s="1" t="s">
        <v>1918</v>
      </c>
      <c r="H3" s="1" t="s">
        <v>1919</v>
      </c>
      <c r="I3" s="1" t="s">
        <v>1920</v>
      </c>
      <c r="J3" s="1" t="s">
        <v>893</v>
      </c>
      <c r="K3" s="1" t="s">
        <v>1921</v>
      </c>
      <c r="L3" s="1" t="s">
        <v>1922</v>
      </c>
      <c r="M3" s="1" t="s">
        <v>1923</v>
      </c>
      <c r="N3" s="1" t="s">
        <v>893</v>
      </c>
      <c r="O3" s="1" t="s">
        <v>1924</v>
      </c>
    </row>
    <row r="4" spans="1:19" x14ac:dyDescent="0.25">
      <c r="G4" s="24" t="s">
        <v>900</v>
      </c>
      <c r="H4" s="24" t="s">
        <v>900</v>
      </c>
      <c r="I4" t="s">
        <v>900</v>
      </c>
      <c r="K4" s="24" t="s">
        <v>900</v>
      </c>
      <c r="L4" s="24" t="s">
        <v>900</v>
      </c>
      <c r="M4" t="s">
        <v>900</v>
      </c>
      <c r="O4" t="s">
        <v>900</v>
      </c>
    </row>
    <row r="5" spans="1:19" x14ac:dyDescent="0.25">
      <c r="G5" s="24" t="s">
        <v>910</v>
      </c>
      <c r="H5" s="24" t="s">
        <v>910</v>
      </c>
      <c r="I5" t="s">
        <v>910</v>
      </c>
      <c r="K5" s="24" t="s">
        <v>910</v>
      </c>
      <c r="L5" s="24" t="s">
        <v>910</v>
      </c>
      <c r="M5" t="s">
        <v>910</v>
      </c>
      <c r="O5" t="s">
        <v>910</v>
      </c>
    </row>
    <row r="6" spans="1:19" x14ac:dyDescent="0.25">
      <c r="G6" s="24" t="s">
        <v>917</v>
      </c>
      <c r="H6" s="24" t="s">
        <v>917</v>
      </c>
      <c r="I6" t="s">
        <v>917</v>
      </c>
      <c r="K6" s="24" t="s">
        <v>917</v>
      </c>
      <c r="L6" s="24" t="s">
        <v>917</v>
      </c>
      <c r="M6" t="s">
        <v>917</v>
      </c>
      <c r="O6" t="s">
        <v>917</v>
      </c>
    </row>
    <row r="7" spans="1:19" x14ac:dyDescent="0.25">
      <c r="G7" s="24" t="s">
        <v>1065</v>
      </c>
      <c r="H7" s="24" t="s">
        <v>1065</v>
      </c>
      <c r="I7" t="s">
        <v>1065</v>
      </c>
      <c r="K7" s="24" t="s">
        <v>1065</v>
      </c>
      <c r="L7" s="24" t="s">
        <v>1065</v>
      </c>
      <c r="M7" t="s">
        <v>1065</v>
      </c>
      <c r="O7" t="s">
        <v>1065</v>
      </c>
    </row>
    <row r="8" spans="1:19" x14ac:dyDescent="0.25">
      <c r="B8" s="20">
        <v>0</v>
      </c>
      <c r="C8" s="20" t="s">
        <v>1925</v>
      </c>
      <c r="D8" s="20" t="s">
        <v>1926</v>
      </c>
      <c r="E8" s="20" t="s">
        <v>1927</v>
      </c>
      <c r="F8" s="20" t="s">
        <v>1926</v>
      </c>
      <c r="G8" s="24" t="s">
        <v>1928</v>
      </c>
      <c r="H8" s="24" t="s">
        <v>1928</v>
      </c>
      <c r="I8" t="s">
        <v>1069</v>
      </c>
      <c r="K8" s="24" t="s">
        <v>1928</v>
      </c>
      <c r="L8" s="24" t="s">
        <v>1928</v>
      </c>
      <c r="M8" t="s">
        <v>1069</v>
      </c>
      <c r="O8" t="s">
        <v>1068</v>
      </c>
    </row>
    <row r="9" spans="1:19" x14ac:dyDescent="0.25">
      <c r="G9" s="24" t="s">
        <v>1074</v>
      </c>
      <c r="H9" s="24" t="s">
        <v>1074</v>
      </c>
      <c r="I9" t="s">
        <v>1074</v>
      </c>
      <c r="K9" s="24" t="s">
        <v>1074</v>
      </c>
      <c r="L9" s="24" t="s">
        <v>1074</v>
      </c>
      <c r="M9" t="s">
        <v>1074</v>
      </c>
      <c r="O9" t="s">
        <v>1074</v>
      </c>
    </row>
    <row r="10" spans="1:19" x14ac:dyDescent="0.25">
      <c r="B10" s="62">
        <v>1</v>
      </c>
      <c r="C10" s="62" t="s">
        <v>1929</v>
      </c>
      <c r="D10" s="62"/>
      <c r="E10" s="62" t="s">
        <v>1930</v>
      </c>
      <c r="F10" s="62" t="s">
        <v>1931</v>
      </c>
      <c r="G10" s="62" t="s">
        <v>1932</v>
      </c>
      <c r="H10" s="24" t="s">
        <v>1932</v>
      </c>
      <c r="I10" t="s">
        <v>1932</v>
      </c>
    </row>
    <row r="12" spans="1:19" x14ac:dyDescent="0.25">
      <c r="A12" s="43" t="s">
        <v>1933</v>
      </c>
      <c r="B12" s="43">
        <v>2</v>
      </c>
      <c r="C12" s="43" t="s">
        <v>1934</v>
      </c>
      <c r="D12" s="43"/>
      <c r="E12" s="43" t="s">
        <v>4399</v>
      </c>
      <c r="F12" s="43" t="s">
        <v>1936</v>
      </c>
      <c r="G12" s="43" t="s">
        <v>1933</v>
      </c>
      <c r="I12" t="s">
        <v>1937</v>
      </c>
      <c r="R12" s="43"/>
      <c r="S12" s="43" t="s">
        <v>1935</v>
      </c>
    </row>
    <row r="13" spans="1:19" x14ac:dyDescent="0.25">
      <c r="A13" s="43" t="s">
        <v>1938</v>
      </c>
      <c r="B13" s="43"/>
      <c r="C13" s="43"/>
      <c r="D13" s="43"/>
      <c r="E13" s="43"/>
      <c r="F13" s="43"/>
      <c r="G13" s="43" t="s">
        <v>1938</v>
      </c>
      <c r="I13" t="s">
        <v>1939</v>
      </c>
      <c r="R13" s="43"/>
    </row>
    <row r="14" spans="1:19" x14ac:dyDescent="0.25">
      <c r="A14" s="43" t="s">
        <v>1940</v>
      </c>
      <c r="B14" s="43"/>
      <c r="C14" s="43"/>
      <c r="D14" s="43"/>
      <c r="E14" s="43"/>
      <c r="F14" s="43"/>
      <c r="G14" s="43" t="s">
        <v>1940</v>
      </c>
      <c r="I14" t="s">
        <v>1941</v>
      </c>
      <c r="R14" s="43"/>
    </row>
    <row r="15" spans="1:19" x14ac:dyDescent="0.25">
      <c r="A15" s="43" t="s">
        <v>1942</v>
      </c>
      <c r="B15" s="43"/>
      <c r="C15" s="43"/>
      <c r="D15" s="43"/>
      <c r="E15" s="43"/>
      <c r="F15" s="43"/>
      <c r="G15" s="43" t="s">
        <v>1942</v>
      </c>
      <c r="I15" t="s">
        <v>1943</v>
      </c>
      <c r="R15" s="43"/>
    </row>
    <row r="16" spans="1:19" x14ac:dyDescent="0.25">
      <c r="A16" s="43" t="s">
        <v>1944</v>
      </c>
      <c r="B16" s="43"/>
      <c r="C16" s="43"/>
      <c r="D16" s="43"/>
      <c r="E16" s="43"/>
      <c r="F16" s="43"/>
      <c r="G16" s="43" t="s">
        <v>1944</v>
      </c>
      <c r="I16" t="s">
        <v>1945</v>
      </c>
    </row>
    <row r="17" spans="1:9" x14ac:dyDescent="0.25">
      <c r="A17" s="43" t="s">
        <v>1946</v>
      </c>
      <c r="B17" s="43"/>
      <c r="C17" s="43"/>
      <c r="D17" s="43"/>
      <c r="E17" s="43"/>
      <c r="F17" s="43"/>
      <c r="G17" s="43" t="s">
        <v>1946</v>
      </c>
      <c r="I17" t="s">
        <v>1947</v>
      </c>
    </row>
    <row r="18" spans="1:9" x14ac:dyDescent="0.25">
      <c r="A18" s="43" t="s">
        <v>1948</v>
      </c>
      <c r="B18" s="43"/>
      <c r="C18" s="43"/>
      <c r="D18" s="43"/>
      <c r="E18" s="43"/>
      <c r="F18" s="43"/>
      <c r="G18" s="43" t="s">
        <v>1948</v>
      </c>
      <c r="I18" t="s">
        <v>1949</v>
      </c>
    </row>
    <row r="19" spans="1:9" x14ac:dyDescent="0.25">
      <c r="A19" s="43" t="s">
        <v>1950</v>
      </c>
      <c r="G19" s="43" t="s">
        <v>1950</v>
      </c>
      <c r="I19" t="s">
        <v>1951</v>
      </c>
    </row>
    <row r="20" spans="1:9" x14ac:dyDescent="0.25">
      <c r="A20" s="43" t="s">
        <v>1952</v>
      </c>
      <c r="G20" s="43" t="s">
        <v>1952</v>
      </c>
      <c r="I20" t="s">
        <v>1953</v>
      </c>
    </row>
    <row r="21" spans="1:9" x14ac:dyDescent="0.25">
      <c r="A21" s="43" t="s">
        <v>1954</v>
      </c>
      <c r="G21" s="43" t="s">
        <v>1954</v>
      </c>
      <c r="I21" t="s">
        <v>1955</v>
      </c>
    </row>
    <row r="22" spans="1:9" x14ac:dyDescent="0.25">
      <c r="A22" s="43" t="s">
        <v>1956</v>
      </c>
      <c r="G22" s="43" t="s">
        <v>1956</v>
      </c>
      <c r="I22" t="s">
        <v>1957</v>
      </c>
    </row>
    <row r="23" spans="1:9" x14ac:dyDescent="0.25">
      <c r="A23" s="43" t="s">
        <v>1958</v>
      </c>
      <c r="G23" s="43" t="s">
        <v>1958</v>
      </c>
      <c r="I23" t="s">
        <v>1959</v>
      </c>
    </row>
    <row r="24" spans="1:9" x14ac:dyDescent="0.25">
      <c r="A24" s="43" t="s">
        <v>1960</v>
      </c>
      <c r="G24" s="43" t="s">
        <v>1960</v>
      </c>
      <c r="I24" t="s">
        <v>1961</v>
      </c>
    </row>
    <row r="25" spans="1:9" x14ac:dyDescent="0.25">
      <c r="A25" s="43" t="s">
        <v>1962</v>
      </c>
      <c r="G25" s="43" t="s">
        <v>1962</v>
      </c>
      <c r="I25" t="s">
        <v>1963</v>
      </c>
    </row>
    <row r="26" spans="1:9" x14ac:dyDescent="0.25">
      <c r="A26" s="43" t="s">
        <v>1964</v>
      </c>
      <c r="G26" s="43" t="s">
        <v>1964</v>
      </c>
      <c r="I26" t="s">
        <v>1965</v>
      </c>
    </row>
    <row r="27" spans="1:9" x14ac:dyDescent="0.25">
      <c r="A27" s="43" t="s">
        <v>1966</v>
      </c>
      <c r="G27" s="43" t="s">
        <v>1966</v>
      </c>
      <c r="I27" t="s">
        <v>1967</v>
      </c>
    </row>
    <row r="28" spans="1:9" x14ac:dyDescent="0.25">
      <c r="A28" s="43" t="s">
        <v>1968</v>
      </c>
      <c r="G28" s="43" t="s">
        <v>1968</v>
      </c>
      <c r="I28" t="s">
        <v>1969</v>
      </c>
    </row>
    <row r="29" spans="1:9" x14ac:dyDescent="0.25">
      <c r="A29" s="43" t="s">
        <v>1970</v>
      </c>
      <c r="G29" s="43" t="s">
        <v>1970</v>
      </c>
      <c r="I29" t="s">
        <v>1971</v>
      </c>
    </row>
    <row r="30" spans="1:9" x14ac:dyDescent="0.25">
      <c r="A30" s="43" t="s">
        <v>1972</v>
      </c>
      <c r="G30" s="43" t="s">
        <v>1972</v>
      </c>
      <c r="I30" t="s">
        <v>1973</v>
      </c>
    </row>
    <row r="31" spans="1:9" x14ac:dyDescent="0.25">
      <c r="A31" s="43" t="s">
        <v>1974</v>
      </c>
      <c r="G31" s="43" t="s">
        <v>1974</v>
      </c>
      <c r="I31" t="s">
        <v>1975</v>
      </c>
    </row>
    <row r="32" spans="1:9" x14ac:dyDescent="0.25">
      <c r="A32" s="43" t="s">
        <v>1976</v>
      </c>
      <c r="G32" s="43" t="s">
        <v>1976</v>
      </c>
      <c r="I32" t="s">
        <v>1977</v>
      </c>
    </row>
    <row r="33" spans="1:9" x14ac:dyDescent="0.25">
      <c r="A33" s="43" t="s">
        <v>1978</v>
      </c>
      <c r="G33" s="43" t="s">
        <v>1978</v>
      </c>
      <c r="I33" t="s">
        <v>1979</v>
      </c>
    </row>
    <row r="34" spans="1:9" x14ac:dyDescent="0.25">
      <c r="A34" s="43" t="s">
        <v>1980</v>
      </c>
      <c r="G34" s="43" t="s">
        <v>1980</v>
      </c>
      <c r="I34" t="s">
        <v>1981</v>
      </c>
    </row>
    <row r="35" spans="1:9" x14ac:dyDescent="0.25">
      <c r="A35" s="43" t="s">
        <v>1982</v>
      </c>
      <c r="G35" s="43" t="s">
        <v>1982</v>
      </c>
      <c r="I35" t="s">
        <v>1983</v>
      </c>
    </row>
    <row r="36" spans="1:9" x14ac:dyDescent="0.25">
      <c r="A36" s="43" t="s">
        <v>1984</v>
      </c>
      <c r="G36" s="43" t="s">
        <v>1984</v>
      </c>
      <c r="I36" t="s">
        <v>1985</v>
      </c>
    </row>
    <row r="37" spans="1:9" x14ac:dyDescent="0.25">
      <c r="A37" s="43" t="s">
        <v>1986</v>
      </c>
      <c r="G37" s="43" t="s">
        <v>1986</v>
      </c>
      <c r="I37" t="s">
        <v>1987</v>
      </c>
    </row>
    <row r="38" spans="1:9" x14ac:dyDescent="0.25">
      <c r="A38" s="43" t="s">
        <v>1988</v>
      </c>
      <c r="G38" s="43" t="s">
        <v>1988</v>
      </c>
      <c r="I38" t="s">
        <v>1988</v>
      </c>
    </row>
    <row r="39" spans="1:9" x14ac:dyDescent="0.25">
      <c r="A39" s="43" t="s">
        <v>1989</v>
      </c>
      <c r="G39" s="43" t="s">
        <v>1989</v>
      </c>
      <c r="I39" t="s">
        <v>1990</v>
      </c>
    </row>
    <row r="40" spans="1:9" x14ac:dyDescent="0.25">
      <c r="A40" s="43" t="s">
        <v>1991</v>
      </c>
      <c r="G40" s="43" t="s">
        <v>1991</v>
      </c>
      <c r="I40" t="s">
        <v>1992</v>
      </c>
    </row>
    <row r="41" spans="1:9" x14ac:dyDescent="0.25">
      <c r="B41" s="20">
        <v>3</v>
      </c>
      <c r="C41" s="20" t="s">
        <v>1993</v>
      </c>
      <c r="D41" s="20"/>
      <c r="E41" s="20" t="s">
        <v>1994</v>
      </c>
      <c r="F41" s="20" t="s">
        <v>1995</v>
      </c>
    </row>
    <row r="43" spans="1:9" x14ac:dyDescent="0.25">
      <c r="B43" s="20">
        <v>4</v>
      </c>
      <c r="C43" s="20" t="s">
        <v>1996</v>
      </c>
      <c r="D43" s="20"/>
      <c r="E43" s="20" t="s">
        <v>1997</v>
      </c>
      <c r="F43" s="20" t="s">
        <v>1995</v>
      </c>
    </row>
    <row r="44" spans="1:9" x14ac:dyDescent="0.25">
      <c r="F44" s="20" t="s">
        <v>1998</v>
      </c>
    </row>
    <row r="45" spans="1:9" x14ac:dyDescent="0.25">
      <c r="D45" t="s">
        <v>1995</v>
      </c>
    </row>
    <row r="47" spans="1:9" x14ac:dyDescent="0.25">
      <c r="B47" s="20">
        <v>5</v>
      </c>
      <c r="C47" s="20" t="s">
        <v>1999</v>
      </c>
      <c r="D47" s="20" t="s">
        <v>2000</v>
      </c>
      <c r="E47" s="20" t="s">
        <v>2001</v>
      </c>
      <c r="F47" s="20" t="s">
        <v>2000</v>
      </c>
    </row>
    <row r="48" spans="1:9" x14ac:dyDescent="0.25">
      <c r="B48" s="20">
        <v>6</v>
      </c>
      <c r="C48" s="20" t="s">
        <v>2002</v>
      </c>
      <c r="D48" s="20" t="s">
        <v>2003</v>
      </c>
      <c r="E48" s="20" t="s">
        <v>2004</v>
      </c>
      <c r="F48" s="20" t="s">
        <v>2003</v>
      </c>
    </row>
    <row r="49" spans="1:14" x14ac:dyDescent="0.25">
      <c r="A49" s="43" t="s">
        <v>2005</v>
      </c>
      <c r="B49" s="25">
        <v>7</v>
      </c>
      <c r="C49" s="25" t="s">
        <v>2006</v>
      </c>
      <c r="D49" s="25"/>
      <c r="E49" s="25" t="s">
        <v>2007</v>
      </c>
      <c r="F49" s="25" t="s">
        <v>2008</v>
      </c>
      <c r="K49" s="43" t="s">
        <v>2005</v>
      </c>
      <c r="M49" t="s">
        <v>1180</v>
      </c>
    </row>
    <row r="50" spans="1:14" x14ac:dyDescent="0.25">
      <c r="A50" s="25" t="s">
        <v>2009</v>
      </c>
      <c r="K50" s="25" t="s">
        <v>2009</v>
      </c>
      <c r="L50" t="s">
        <v>2010</v>
      </c>
      <c r="M50" t="s">
        <v>2009</v>
      </c>
    </row>
    <row r="51" spans="1:14" x14ac:dyDescent="0.25">
      <c r="A51" s="25" t="s">
        <v>2010</v>
      </c>
      <c r="K51" s="25" t="s">
        <v>2010</v>
      </c>
      <c r="L51" t="s">
        <v>2009</v>
      </c>
      <c r="M51" t="s">
        <v>2010</v>
      </c>
    </row>
    <row r="52" spans="1:14" x14ac:dyDescent="0.25">
      <c r="A52" s="25" t="s">
        <v>2011</v>
      </c>
      <c r="K52" s="25" t="s">
        <v>2011</v>
      </c>
      <c r="L52" t="s">
        <v>2011</v>
      </c>
      <c r="M52" t="s">
        <v>2011</v>
      </c>
    </row>
    <row r="53" spans="1:14" x14ac:dyDescent="0.25">
      <c r="A53" s="25" t="s">
        <v>1951</v>
      </c>
      <c r="K53" s="25" t="s">
        <v>1951</v>
      </c>
      <c r="L53" t="s">
        <v>1951</v>
      </c>
      <c r="M53" s="24" t="s">
        <v>1951</v>
      </c>
      <c r="N53" t="s">
        <v>1183</v>
      </c>
    </row>
    <row r="54" spans="1:14" x14ac:dyDescent="0.25">
      <c r="A54" s="25" t="s">
        <v>1949</v>
      </c>
      <c r="K54" s="25" t="s">
        <v>1949</v>
      </c>
      <c r="L54" t="s">
        <v>1949</v>
      </c>
      <c r="M54" s="24" t="s">
        <v>1949</v>
      </c>
      <c r="N54" t="s">
        <v>1183</v>
      </c>
    </row>
    <row r="55" spans="1:14" x14ac:dyDescent="0.25">
      <c r="A55" s="25" t="s">
        <v>4401</v>
      </c>
      <c r="K55" s="25" t="s">
        <v>4401</v>
      </c>
      <c r="L55" t="s">
        <v>4401</v>
      </c>
      <c r="M55" t="s">
        <v>4401</v>
      </c>
    </row>
    <row r="56" spans="1:14" x14ac:dyDescent="0.25">
      <c r="B56" s="20">
        <v>8</v>
      </c>
      <c r="C56" s="20" t="s">
        <v>2013</v>
      </c>
      <c r="D56" s="20"/>
      <c r="E56" s="20" t="s">
        <v>4404</v>
      </c>
      <c r="F56" s="20"/>
    </row>
    <row r="57" spans="1:14" x14ac:dyDescent="0.25">
      <c r="B57" s="20">
        <v>9</v>
      </c>
      <c r="C57" s="20" t="s">
        <v>1055</v>
      </c>
      <c r="D57" s="20"/>
      <c r="E57" s="20" t="s">
        <v>1056</v>
      </c>
      <c r="F57" s="20" t="s">
        <v>1057</v>
      </c>
    </row>
    <row r="58" spans="1:14" x14ac:dyDescent="0.25">
      <c r="A58" s="43" t="s">
        <v>2012</v>
      </c>
      <c r="K58" s="43" t="s">
        <v>2012</v>
      </c>
      <c r="M58" s="12" t="s">
        <v>2012</v>
      </c>
    </row>
    <row r="59" spans="1:14" x14ac:dyDescent="0.25">
      <c r="A59" s="43" t="s">
        <v>2014</v>
      </c>
      <c r="D59" t="s">
        <v>1057</v>
      </c>
      <c r="K59" s="43" t="s">
        <v>2014</v>
      </c>
      <c r="M59" s="12" t="s">
        <v>2014</v>
      </c>
    </row>
    <row r="60" spans="1:14" x14ac:dyDescent="0.25">
      <c r="A60" s="43" t="s">
        <v>2015</v>
      </c>
      <c r="K60" s="43" t="s">
        <v>2015</v>
      </c>
      <c r="M60" s="12" t="s">
        <v>2015</v>
      </c>
    </row>
    <row r="61" spans="1:14" x14ac:dyDescent="0.25">
      <c r="A61" s="43" t="s">
        <v>2016</v>
      </c>
      <c r="K61" s="43" t="s">
        <v>2016</v>
      </c>
      <c r="M61" s="12" t="s">
        <v>2016</v>
      </c>
    </row>
    <row r="62" spans="1:14" x14ac:dyDescent="0.25">
      <c r="A62" s="43" t="s">
        <v>2017</v>
      </c>
      <c r="K62" s="43" t="s">
        <v>2017</v>
      </c>
      <c r="M62" s="12" t="s">
        <v>2018</v>
      </c>
    </row>
    <row r="63" spans="1:14" x14ac:dyDescent="0.25">
      <c r="A63" s="43" t="s">
        <v>2019</v>
      </c>
      <c r="K63" s="43" t="s">
        <v>2019</v>
      </c>
      <c r="M63" s="12" t="s">
        <v>2020</v>
      </c>
    </row>
    <row r="64" spans="1:14" x14ac:dyDescent="0.25">
      <c r="A64" s="43" t="s">
        <v>2021</v>
      </c>
      <c r="K64" s="43" t="s">
        <v>2021</v>
      </c>
      <c r="M64" s="24" t="s">
        <v>2022</v>
      </c>
      <c r="N64" t="s">
        <v>1183</v>
      </c>
    </row>
    <row r="65" spans="1:15" x14ac:dyDescent="0.25">
      <c r="A65" s="43" t="s">
        <v>2023</v>
      </c>
      <c r="K65" s="43" t="s">
        <v>2023</v>
      </c>
      <c r="M65" s="12" t="s">
        <v>2024</v>
      </c>
    </row>
    <row r="66" spans="1:15" x14ac:dyDescent="0.25">
      <c r="A66" s="43" t="s">
        <v>2025</v>
      </c>
      <c r="K66" s="43" t="s">
        <v>2025</v>
      </c>
      <c r="M66" s="12" t="s">
        <v>2025</v>
      </c>
    </row>
    <row r="67" spans="1:15" x14ac:dyDescent="0.25">
      <c r="A67" s="43" t="s">
        <v>2026</v>
      </c>
      <c r="K67" s="43" t="s">
        <v>2026</v>
      </c>
      <c r="M67" s="12" t="s">
        <v>2026</v>
      </c>
    </row>
    <row r="68" spans="1:15" x14ac:dyDescent="0.25">
      <c r="A68" s="43" t="s">
        <v>2027</v>
      </c>
      <c r="K68" s="43" t="s">
        <v>2027</v>
      </c>
      <c r="M68" s="12" t="s">
        <v>2028</v>
      </c>
    </row>
    <row r="69" spans="1:15" x14ac:dyDescent="0.25">
      <c r="A69" s="43" t="s">
        <v>2029</v>
      </c>
      <c r="K69" s="43" t="s">
        <v>2029</v>
      </c>
      <c r="M69" s="12" t="s">
        <v>2029</v>
      </c>
    </row>
    <row r="70" spans="1:15" x14ac:dyDescent="0.25">
      <c r="A70" s="43" t="s">
        <v>2030</v>
      </c>
      <c r="K70" s="43" t="s">
        <v>2030</v>
      </c>
      <c r="M70" s="12" t="s">
        <v>2031</v>
      </c>
    </row>
    <row r="71" spans="1:15" x14ac:dyDescent="0.25">
      <c r="A71" s="43" t="s">
        <v>2032</v>
      </c>
      <c r="K71" s="43" t="s">
        <v>2032</v>
      </c>
      <c r="M71" s="12" t="s">
        <v>2033</v>
      </c>
    </row>
    <row r="72" spans="1:15" x14ac:dyDescent="0.25">
      <c r="A72" s="43" t="s">
        <v>2034</v>
      </c>
      <c r="K72" s="43" t="s">
        <v>2034</v>
      </c>
      <c r="M72" s="12" t="s">
        <v>2035</v>
      </c>
    </row>
    <row r="73" spans="1:15" x14ac:dyDescent="0.25">
      <c r="A73" s="43" t="s">
        <v>2036</v>
      </c>
      <c r="K73" s="43" t="s">
        <v>2036</v>
      </c>
      <c r="M73" s="12" t="s">
        <v>2037</v>
      </c>
    </row>
    <row r="74" spans="1:15" x14ac:dyDescent="0.25">
      <c r="A74" s="43" t="s">
        <v>4400</v>
      </c>
      <c r="K74" s="43" t="s">
        <v>4400</v>
      </c>
      <c r="M74" s="12" t="s">
        <v>4400</v>
      </c>
    </row>
    <row r="75" spans="1:15" x14ac:dyDescent="0.25">
      <c r="A75" s="43" t="s">
        <v>4402</v>
      </c>
      <c r="K75" s="43" t="s">
        <v>4402</v>
      </c>
      <c r="M75" s="12" t="s">
        <v>4402</v>
      </c>
    </row>
    <row r="76" spans="1:15" x14ac:dyDescent="0.25">
      <c r="A76" s="43" t="s">
        <v>4403</v>
      </c>
      <c r="K76" s="43" t="s">
        <v>4403</v>
      </c>
      <c r="M76" s="12" t="s">
        <v>4403</v>
      </c>
    </row>
    <row r="77" spans="1:15" x14ac:dyDescent="0.25">
      <c r="M77" s="12"/>
    </row>
    <row r="78" spans="1:15" x14ac:dyDescent="0.25">
      <c r="M78" s="12"/>
    </row>
    <row r="79" spans="1:15" x14ac:dyDescent="0.25">
      <c r="B79" s="20">
        <v>10</v>
      </c>
      <c r="C79" s="20" t="s">
        <v>2038</v>
      </c>
      <c r="E79" s="20" t="s">
        <v>2039</v>
      </c>
      <c r="F79" s="20" t="s">
        <v>2040</v>
      </c>
    </row>
    <row r="80" spans="1:15" x14ac:dyDescent="0.25">
      <c r="A80" s="41" t="s">
        <v>1180</v>
      </c>
      <c r="B80" s="41">
        <v>11</v>
      </c>
      <c r="C80" s="41" t="s">
        <v>2041</v>
      </c>
      <c r="D80" s="41"/>
      <c r="E80" s="41" t="s">
        <v>2042</v>
      </c>
      <c r="F80" s="41" t="s">
        <v>2043</v>
      </c>
      <c r="O80" s="41" t="s">
        <v>1180</v>
      </c>
    </row>
    <row r="81" spans="1:15" x14ac:dyDescent="0.25">
      <c r="A81" s="41" t="s">
        <v>2044</v>
      </c>
      <c r="O81" s="41" t="s">
        <v>2044</v>
      </c>
    </row>
    <row r="82" spans="1:15" x14ac:dyDescent="0.25">
      <c r="A82" s="41" t="s">
        <v>2045</v>
      </c>
      <c r="O82" s="41" t="s">
        <v>2045</v>
      </c>
    </row>
    <row r="83" spans="1:15" x14ac:dyDescent="0.25">
      <c r="A83" s="41" t="s">
        <v>2046</v>
      </c>
      <c r="O83" s="41" t="s">
        <v>2047</v>
      </c>
    </row>
    <row r="84" spans="1:15" x14ac:dyDescent="0.25">
      <c r="A84" s="41" t="s">
        <v>2048</v>
      </c>
      <c r="O84" s="41" t="s">
        <v>2048</v>
      </c>
    </row>
    <row r="85" spans="1:15" x14ac:dyDescent="0.25">
      <c r="A85" s="41" t="s">
        <v>2049</v>
      </c>
      <c r="O85" s="41" t="s">
        <v>2049</v>
      </c>
    </row>
  </sheetData>
  <hyperlinks>
    <hyperlink ref="A1" location="contents!A1" display="Contents" xr:uid="{00000000-0004-0000-0C00-000000000000}"/>
  </hyperlink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71"/>
  <sheetViews>
    <sheetView zoomScaleNormal="100" workbookViewId="0">
      <pane ySplit="3" topLeftCell="A127" activePane="bottomLeft" state="frozen"/>
      <selection pane="bottomLeft" activeCell="G45" sqref="G45"/>
    </sheetView>
  </sheetViews>
  <sheetFormatPr defaultColWidth="8.7109375" defaultRowHeight="15" x14ac:dyDescent="0.25"/>
  <cols>
    <col min="1" max="1" width="46" customWidth="1"/>
    <col min="2" max="2" width="27.5703125" customWidth="1"/>
    <col min="3" max="3" width="22.5703125" customWidth="1"/>
    <col min="4" max="4" width="18.85546875" customWidth="1"/>
    <col min="5" max="5" width="28" customWidth="1"/>
    <col min="6" max="6" width="24.7109375" customWidth="1"/>
    <col min="7" max="7" width="118.140625" customWidth="1"/>
    <col min="8" max="9" width="79.7109375" customWidth="1"/>
    <col min="10" max="10" width="26.42578125" customWidth="1"/>
    <col min="11" max="11" width="70.85546875" customWidth="1"/>
  </cols>
  <sheetData>
    <row r="1" spans="1:11" x14ac:dyDescent="0.25">
      <c r="A1" s="2" t="s">
        <v>0</v>
      </c>
      <c r="B1" s="2" t="s">
        <v>0</v>
      </c>
      <c r="C1" s="2" t="s">
        <v>0</v>
      </c>
      <c r="D1" s="2" t="s">
        <v>0</v>
      </c>
      <c r="E1" s="2" t="s">
        <v>0</v>
      </c>
      <c r="F1" s="2" t="s">
        <v>0</v>
      </c>
      <c r="G1" s="2" t="s">
        <v>0</v>
      </c>
      <c r="H1" s="2" t="s">
        <v>0</v>
      </c>
      <c r="I1" s="2" t="s">
        <v>0</v>
      </c>
      <c r="J1" s="2" t="s">
        <v>0</v>
      </c>
      <c r="K1" s="2" t="s">
        <v>0</v>
      </c>
    </row>
    <row r="2" spans="1:11" x14ac:dyDescent="0.25">
      <c r="A2" s="1" t="s">
        <v>21</v>
      </c>
    </row>
    <row r="3" spans="1:11" x14ac:dyDescent="0.25">
      <c r="A3" s="1" t="s">
        <v>1295</v>
      </c>
      <c r="B3" s="1" t="s">
        <v>1297</v>
      </c>
      <c r="C3" s="1" t="s">
        <v>1298</v>
      </c>
      <c r="D3" s="1" t="s">
        <v>885</v>
      </c>
      <c r="E3" s="1" t="s">
        <v>886</v>
      </c>
      <c r="F3" s="1" t="s">
        <v>887</v>
      </c>
      <c r="G3" s="1" t="s">
        <v>888</v>
      </c>
      <c r="H3" s="1" t="s">
        <v>889</v>
      </c>
      <c r="I3" s="1" t="s">
        <v>1299</v>
      </c>
      <c r="J3" s="1" t="s">
        <v>1277</v>
      </c>
      <c r="K3" s="1" t="s">
        <v>1278</v>
      </c>
    </row>
    <row r="5" spans="1:11" x14ac:dyDescent="0.25">
      <c r="A5" s="63" t="s">
        <v>2050</v>
      </c>
      <c r="B5" s="63" t="s">
        <v>2051</v>
      </c>
      <c r="C5" s="63" t="s">
        <v>1947</v>
      </c>
      <c r="D5" s="63">
        <v>0</v>
      </c>
      <c r="E5" s="63" t="s">
        <v>2052</v>
      </c>
      <c r="F5" s="63"/>
      <c r="G5" s="63" t="s">
        <v>2053</v>
      </c>
      <c r="H5" s="63" t="s">
        <v>2054</v>
      </c>
      <c r="I5" s="63"/>
      <c r="K5" t="s">
        <v>2055</v>
      </c>
    </row>
    <row r="6" spans="1:11" x14ac:dyDescent="0.25">
      <c r="A6" s="63"/>
      <c r="B6" s="63" t="s">
        <v>2056</v>
      </c>
      <c r="C6" s="63" t="s">
        <v>1947</v>
      </c>
      <c r="D6" s="63"/>
      <c r="E6" s="63"/>
      <c r="F6" s="63"/>
      <c r="G6" s="63"/>
      <c r="H6" s="63" t="s">
        <v>2057</v>
      </c>
      <c r="I6" s="63"/>
    </row>
    <row r="7" spans="1:11" x14ac:dyDescent="0.25">
      <c r="A7" s="63"/>
      <c r="B7" s="63"/>
      <c r="C7" s="63"/>
      <c r="D7" s="63"/>
      <c r="E7" s="63"/>
      <c r="F7" s="63"/>
      <c r="G7" s="63"/>
      <c r="H7" s="63" t="s">
        <v>2058</v>
      </c>
      <c r="I7" s="63"/>
    </row>
    <row r="8" spans="1:11" x14ac:dyDescent="0.25">
      <c r="A8" s="63"/>
      <c r="B8" s="63"/>
      <c r="C8" s="63"/>
      <c r="D8" s="63"/>
      <c r="E8" s="63"/>
      <c r="F8" s="63"/>
      <c r="G8" s="63"/>
      <c r="H8" s="63" t="s">
        <v>2059</v>
      </c>
      <c r="I8" s="63"/>
    </row>
    <row r="9" spans="1:11" x14ac:dyDescent="0.25">
      <c r="A9" s="63"/>
      <c r="B9" s="63"/>
      <c r="C9" s="63"/>
      <c r="D9" s="63"/>
      <c r="E9" s="63"/>
      <c r="F9" s="63"/>
      <c r="G9" s="63"/>
      <c r="H9" s="63" t="s">
        <v>2060</v>
      </c>
      <c r="I9" s="63"/>
    </row>
    <row r="10" spans="1:11" x14ac:dyDescent="0.25">
      <c r="A10" s="63"/>
      <c r="B10" s="63"/>
      <c r="C10" s="63"/>
      <c r="D10" s="63"/>
      <c r="E10" s="63"/>
      <c r="F10" s="63"/>
      <c r="G10" s="63"/>
      <c r="H10" s="63" t="s">
        <v>2061</v>
      </c>
      <c r="I10" s="63"/>
    </row>
    <row r="11" spans="1:11" x14ac:dyDescent="0.25">
      <c r="A11" s="63"/>
      <c r="B11" s="63"/>
      <c r="C11" s="63"/>
      <c r="D11" s="63"/>
      <c r="E11" s="63"/>
      <c r="F11" s="63"/>
      <c r="G11" s="63"/>
      <c r="H11" s="63" t="s">
        <v>2062</v>
      </c>
      <c r="I11" s="63"/>
    </row>
    <row r="12" spans="1:11" x14ac:dyDescent="0.25">
      <c r="A12" s="63"/>
      <c r="B12" s="63"/>
      <c r="C12" s="63"/>
      <c r="D12" s="63"/>
      <c r="E12" s="63"/>
      <c r="F12" s="63"/>
      <c r="G12" s="63"/>
      <c r="H12" s="63" t="s">
        <v>2063</v>
      </c>
      <c r="I12" s="63"/>
    </row>
    <row r="13" spans="1:11" x14ac:dyDescent="0.25">
      <c r="A13" s="63"/>
      <c r="B13" s="63"/>
      <c r="C13" s="63"/>
      <c r="D13" s="63"/>
      <c r="E13" s="63"/>
      <c r="F13" s="63"/>
      <c r="G13" s="63"/>
      <c r="H13" s="63" t="s">
        <v>2064</v>
      </c>
      <c r="I13" s="63"/>
    </row>
    <row r="14" spans="1:11" x14ac:dyDescent="0.25">
      <c r="A14" s="63"/>
      <c r="B14" s="63"/>
      <c r="C14" s="63"/>
      <c r="D14" s="63"/>
      <c r="E14" s="63"/>
      <c r="F14" s="63"/>
      <c r="G14" s="63"/>
      <c r="H14" s="63" t="s">
        <v>2065</v>
      </c>
      <c r="I14" s="63"/>
    </row>
    <row r="15" spans="1:11" s="12" customFormat="1" x14ac:dyDescent="0.25">
      <c r="H15" s="63"/>
      <c r="I15" s="63"/>
    </row>
    <row r="16" spans="1:11" s="12" customFormat="1" x14ac:dyDescent="0.25"/>
    <row r="17" spans="1:12" s="12" customFormat="1" x14ac:dyDescent="0.25"/>
    <row r="18" spans="1:12" s="12" customFormat="1" x14ac:dyDescent="0.25"/>
    <row r="19" spans="1:12" s="12" customFormat="1" x14ac:dyDescent="0.25"/>
    <row r="20" spans="1:12" x14ac:dyDescent="0.25">
      <c r="A20" t="s">
        <v>2066</v>
      </c>
      <c r="B20" t="s">
        <v>2067</v>
      </c>
      <c r="C20" t="s">
        <v>2015</v>
      </c>
      <c r="D20">
        <v>1</v>
      </c>
      <c r="E20" t="s">
        <v>2068</v>
      </c>
      <c r="G20" t="s">
        <v>2069</v>
      </c>
      <c r="H20" t="s">
        <v>2070</v>
      </c>
      <c r="L20" t="s">
        <v>2071</v>
      </c>
    </row>
    <row r="21" spans="1:12" x14ac:dyDescent="0.25">
      <c r="B21" t="s">
        <v>2072</v>
      </c>
      <c r="C21" t="s">
        <v>2016</v>
      </c>
    </row>
    <row r="23" spans="1:12" x14ac:dyDescent="0.25">
      <c r="A23" t="s">
        <v>2073</v>
      </c>
      <c r="B23" t="s">
        <v>2067</v>
      </c>
      <c r="C23" t="s">
        <v>2016</v>
      </c>
      <c r="D23">
        <v>2</v>
      </c>
      <c r="E23" t="s">
        <v>2074</v>
      </c>
      <c r="G23" t="s">
        <v>2075</v>
      </c>
      <c r="H23" t="s">
        <v>2076</v>
      </c>
    </row>
    <row r="25" spans="1:12" x14ac:dyDescent="0.25">
      <c r="B25" t="s">
        <v>2067</v>
      </c>
      <c r="C25" t="s">
        <v>2015</v>
      </c>
      <c r="D25">
        <v>3</v>
      </c>
      <c r="E25" t="s">
        <v>2077</v>
      </c>
      <c r="G25" t="s">
        <v>2078</v>
      </c>
      <c r="H25" t="s">
        <v>2079</v>
      </c>
    </row>
    <row r="26" spans="1:12" x14ac:dyDescent="0.25">
      <c r="H26" s="7" t="s">
        <v>2080</v>
      </c>
      <c r="I26" s="7"/>
    </row>
    <row r="27" spans="1:12" x14ac:dyDescent="0.25">
      <c r="H27" s="7" t="s">
        <v>2081</v>
      </c>
      <c r="I27" s="7"/>
    </row>
    <row r="28" spans="1:12" x14ac:dyDescent="0.25">
      <c r="H28" t="s">
        <v>2082</v>
      </c>
    </row>
    <row r="29" spans="1:12" x14ac:dyDescent="0.25">
      <c r="H29" s="7"/>
      <c r="I29" s="7"/>
    </row>
    <row r="30" spans="1:12" x14ac:dyDescent="0.25">
      <c r="A30" t="s">
        <v>2083</v>
      </c>
      <c r="B30" t="s">
        <v>2067</v>
      </c>
      <c r="C30" t="s">
        <v>2016</v>
      </c>
      <c r="D30">
        <v>4</v>
      </c>
      <c r="E30" t="s">
        <v>2084</v>
      </c>
      <c r="G30" t="s">
        <v>2085</v>
      </c>
      <c r="H30" t="s">
        <v>2086</v>
      </c>
    </row>
    <row r="31" spans="1:12" x14ac:dyDescent="0.25">
      <c r="H31" t="s">
        <v>2087</v>
      </c>
    </row>
    <row r="32" spans="1:12" x14ac:dyDescent="0.25">
      <c r="H32" t="s">
        <v>2088</v>
      </c>
    </row>
    <row r="34" spans="1:12" x14ac:dyDescent="0.25">
      <c r="A34" t="s">
        <v>2089</v>
      </c>
      <c r="B34" t="s">
        <v>2067</v>
      </c>
      <c r="C34" t="s">
        <v>2015</v>
      </c>
      <c r="D34">
        <v>5</v>
      </c>
      <c r="E34" t="s">
        <v>2090</v>
      </c>
      <c r="G34" t="s">
        <v>2091</v>
      </c>
      <c r="H34" t="s">
        <v>2092</v>
      </c>
      <c r="J34" t="s">
        <v>2093</v>
      </c>
      <c r="K34" t="s">
        <v>2094</v>
      </c>
      <c r="L34" t="s">
        <v>2095</v>
      </c>
    </row>
    <row r="35" spans="1:12" x14ac:dyDescent="0.25">
      <c r="H35" t="s">
        <v>2096</v>
      </c>
      <c r="K35" t="s">
        <v>2097</v>
      </c>
    </row>
    <row r="36" spans="1:12" x14ac:dyDescent="0.25">
      <c r="K36" t="s">
        <v>2098</v>
      </c>
    </row>
    <row r="38" spans="1:12" x14ac:dyDescent="0.25">
      <c r="A38" t="s">
        <v>2099</v>
      </c>
      <c r="B38" t="s">
        <v>2067</v>
      </c>
      <c r="C38" t="s">
        <v>2016</v>
      </c>
      <c r="D38">
        <v>6</v>
      </c>
      <c r="E38" t="s">
        <v>2100</v>
      </c>
      <c r="G38" t="s">
        <v>2101</v>
      </c>
      <c r="H38" t="s">
        <v>2102</v>
      </c>
    </row>
    <row r="40" spans="1:12" x14ac:dyDescent="0.25">
      <c r="A40" t="s">
        <v>2103</v>
      </c>
      <c r="B40" t="s">
        <v>2067</v>
      </c>
      <c r="C40" t="s">
        <v>2016</v>
      </c>
      <c r="D40">
        <v>7</v>
      </c>
      <c r="E40" s="41" t="s">
        <v>2104</v>
      </c>
      <c r="G40" t="s">
        <v>2105</v>
      </c>
      <c r="H40" t="s">
        <v>2106</v>
      </c>
    </row>
    <row r="41" spans="1:12" x14ac:dyDescent="0.25">
      <c r="H41" t="s">
        <v>2107</v>
      </c>
    </row>
    <row r="42" spans="1:12" x14ac:dyDescent="0.25">
      <c r="H42" t="s">
        <v>2108</v>
      </c>
    </row>
    <row r="43" spans="1:12" x14ac:dyDescent="0.25">
      <c r="H43" t="s">
        <v>2109</v>
      </c>
    </row>
    <row r="44" spans="1:12" x14ac:dyDescent="0.25">
      <c r="H44" t="s">
        <v>2110</v>
      </c>
    </row>
    <row r="45" spans="1:12" x14ac:dyDescent="0.25">
      <c r="H45" t="s">
        <v>2111</v>
      </c>
    </row>
    <row r="48" spans="1:12" x14ac:dyDescent="0.25">
      <c r="B48" t="s">
        <v>2067</v>
      </c>
      <c r="C48" t="s">
        <v>2015</v>
      </c>
      <c r="D48">
        <v>8</v>
      </c>
      <c r="E48" s="41" t="s">
        <v>2112</v>
      </c>
      <c r="G48" t="s">
        <v>2113</v>
      </c>
      <c r="H48" t="s">
        <v>2114</v>
      </c>
    </row>
    <row r="49" spans="1:9" x14ac:dyDescent="0.25">
      <c r="H49" t="s">
        <v>2115</v>
      </c>
    </row>
    <row r="50" spans="1:9" x14ac:dyDescent="0.25">
      <c r="H50" t="s">
        <v>2116</v>
      </c>
    </row>
    <row r="51" spans="1:9" x14ac:dyDescent="0.25">
      <c r="H51" t="s">
        <v>2117</v>
      </c>
    </row>
    <row r="52" spans="1:9" x14ac:dyDescent="0.25">
      <c r="H52" t="s">
        <v>2118</v>
      </c>
    </row>
    <row r="55" spans="1:9" x14ac:dyDescent="0.25">
      <c r="A55" t="s">
        <v>2103</v>
      </c>
      <c r="B55" t="s">
        <v>2067</v>
      </c>
      <c r="C55" t="s">
        <v>2016</v>
      </c>
      <c r="D55">
        <v>9</v>
      </c>
      <c r="E55" s="41" t="s">
        <v>2119</v>
      </c>
      <c r="G55" t="s">
        <v>2120</v>
      </c>
      <c r="H55" t="s">
        <v>2121</v>
      </c>
    </row>
    <row r="56" spans="1:9" x14ac:dyDescent="0.25">
      <c r="H56" t="s">
        <v>2122</v>
      </c>
    </row>
    <row r="57" spans="1:9" x14ac:dyDescent="0.25">
      <c r="H57" t="s">
        <v>2123</v>
      </c>
    </row>
    <row r="58" spans="1:9" x14ac:dyDescent="0.25">
      <c r="H58" t="s">
        <v>2124</v>
      </c>
    </row>
    <row r="59" spans="1:9" x14ac:dyDescent="0.25">
      <c r="H59" s="7" t="s">
        <v>2125</v>
      </c>
      <c r="I59" s="7"/>
    </row>
    <row r="60" spans="1:9" x14ac:dyDescent="0.25">
      <c r="H60" s="7" t="s">
        <v>2126</v>
      </c>
      <c r="I60" s="7"/>
    </row>
    <row r="61" spans="1:9" x14ac:dyDescent="0.25">
      <c r="H61" s="7"/>
      <c r="I61" s="7"/>
    </row>
    <row r="62" spans="1:9" x14ac:dyDescent="0.25">
      <c r="A62" t="s">
        <v>2127</v>
      </c>
      <c r="B62" t="s">
        <v>2067</v>
      </c>
      <c r="C62" t="s">
        <v>2015</v>
      </c>
      <c r="D62">
        <v>10</v>
      </c>
      <c r="E62" t="s">
        <v>2128</v>
      </c>
      <c r="G62" t="s">
        <v>2129</v>
      </c>
      <c r="H62" t="s">
        <v>2130</v>
      </c>
    </row>
    <row r="63" spans="1:9" x14ac:dyDescent="0.25">
      <c r="H63" t="s">
        <v>2131</v>
      </c>
    </row>
    <row r="65" spans="1:9" x14ac:dyDescent="0.25">
      <c r="A65" t="s">
        <v>2132</v>
      </c>
      <c r="B65" t="s">
        <v>2067</v>
      </c>
      <c r="C65" t="s">
        <v>2016</v>
      </c>
      <c r="D65">
        <v>11</v>
      </c>
      <c r="E65" t="s">
        <v>2133</v>
      </c>
      <c r="G65" t="s">
        <v>2134</v>
      </c>
      <c r="H65" t="s">
        <v>2135</v>
      </c>
    </row>
    <row r="66" spans="1:9" x14ac:dyDescent="0.25">
      <c r="H66" t="s">
        <v>2136</v>
      </c>
    </row>
    <row r="67" spans="1:9" x14ac:dyDescent="0.25">
      <c r="H67" t="s">
        <v>2137</v>
      </c>
    </row>
    <row r="68" spans="1:9" x14ac:dyDescent="0.25">
      <c r="H68" t="s">
        <v>2138</v>
      </c>
    </row>
    <row r="69" spans="1:9" x14ac:dyDescent="0.25">
      <c r="H69" t="s">
        <v>2139</v>
      </c>
    </row>
    <row r="70" spans="1:9" x14ac:dyDescent="0.25">
      <c r="H70" t="s">
        <v>2140</v>
      </c>
    </row>
    <row r="71" spans="1:9" x14ac:dyDescent="0.25">
      <c r="H71" t="s">
        <v>2141</v>
      </c>
    </row>
    <row r="72" spans="1:9" x14ac:dyDescent="0.25">
      <c r="H72" t="s">
        <v>2142</v>
      </c>
    </row>
    <row r="74" spans="1:9" x14ac:dyDescent="0.25">
      <c r="A74" t="s">
        <v>2143</v>
      </c>
      <c r="B74" t="s">
        <v>2067</v>
      </c>
      <c r="C74" t="s">
        <v>2015</v>
      </c>
      <c r="D74">
        <v>12</v>
      </c>
      <c r="E74" t="s">
        <v>334</v>
      </c>
      <c r="G74" t="s">
        <v>2144</v>
      </c>
      <c r="H74" s="7" t="s">
        <v>2145</v>
      </c>
      <c r="I74" s="7"/>
    </row>
    <row r="75" spans="1:9" x14ac:dyDescent="0.25">
      <c r="H75" s="7" t="s">
        <v>2146</v>
      </c>
      <c r="I75" s="7"/>
    </row>
    <row r="76" spans="1:9" x14ac:dyDescent="0.25">
      <c r="H76" t="s">
        <v>2147</v>
      </c>
    </row>
    <row r="78" spans="1:9" x14ac:dyDescent="0.25">
      <c r="A78" t="s">
        <v>2148</v>
      </c>
      <c r="B78" t="s">
        <v>2067</v>
      </c>
      <c r="C78" t="s">
        <v>2015</v>
      </c>
      <c r="D78" s="41">
        <v>13</v>
      </c>
      <c r="E78" s="41" t="s">
        <v>2149</v>
      </c>
      <c r="G78" t="s">
        <v>2150</v>
      </c>
      <c r="H78" t="s">
        <v>2151</v>
      </c>
    </row>
    <row r="79" spans="1:9" x14ac:dyDescent="0.25">
      <c r="H79" t="s">
        <v>2152</v>
      </c>
    </row>
    <row r="80" spans="1:9" x14ac:dyDescent="0.25">
      <c r="H80" t="s">
        <v>2153</v>
      </c>
    </row>
    <row r="82" spans="1:12" x14ac:dyDescent="0.25">
      <c r="A82" t="s">
        <v>2154</v>
      </c>
      <c r="B82" t="s">
        <v>2067</v>
      </c>
      <c r="C82" t="s">
        <v>2015</v>
      </c>
      <c r="D82">
        <v>14</v>
      </c>
      <c r="E82" t="s">
        <v>2155</v>
      </c>
      <c r="G82" t="s">
        <v>2156</v>
      </c>
      <c r="H82" t="s">
        <v>2157</v>
      </c>
      <c r="J82" t="s">
        <v>2158</v>
      </c>
    </row>
    <row r="83" spans="1:12" x14ac:dyDescent="0.25">
      <c r="H83" t="s">
        <v>2159</v>
      </c>
      <c r="J83" t="s">
        <v>2156</v>
      </c>
      <c r="L83" t="s">
        <v>2160</v>
      </c>
    </row>
    <row r="84" spans="1:12" x14ac:dyDescent="0.25">
      <c r="H84" t="s">
        <v>2161</v>
      </c>
      <c r="J84" t="s">
        <v>2158</v>
      </c>
    </row>
    <row r="85" spans="1:12" x14ac:dyDescent="0.25">
      <c r="H85" t="s">
        <v>2162</v>
      </c>
    </row>
    <row r="86" spans="1:12" x14ac:dyDescent="0.25">
      <c r="H86" t="s">
        <v>2163</v>
      </c>
    </row>
    <row r="87" spans="1:12" x14ac:dyDescent="0.25">
      <c r="H87" t="s">
        <v>2164</v>
      </c>
    </row>
    <row r="88" spans="1:12" x14ac:dyDescent="0.25">
      <c r="H88" t="s">
        <v>2165</v>
      </c>
    </row>
    <row r="89" spans="1:12" x14ac:dyDescent="0.25">
      <c r="H89" t="s">
        <v>2166</v>
      </c>
    </row>
    <row r="90" spans="1:12" x14ac:dyDescent="0.25">
      <c r="H90" t="s">
        <v>2167</v>
      </c>
    </row>
    <row r="91" spans="1:12" x14ac:dyDescent="0.25">
      <c r="H91" t="s">
        <v>2168</v>
      </c>
    </row>
    <row r="93" spans="1:12" x14ac:dyDescent="0.25">
      <c r="B93" t="s">
        <v>2067</v>
      </c>
      <c r="C93" t="s">
        <v>2015</v>
      </c>
      <c r="D93">
        <v>15</v>
      </c>
      <c r="E93" t="s">
        <v>2169</v>
      </c>
      <c r="G93" t="s">
        <v>2170</v>
      </c>
      <c r="H93" s="7" t="s">
        <v>2171</v>
      </c>
      <c r="I93" s="7"/>
    </row>
    <row r="95" spans="1:12" x14ac:dyDescent="0.25">
      <c r="B95" t="s">
        <v>2067</v>
      </c>
      <c r="C95" t="s">
        <v>2016</v>
      </c>
      <c r="D95" s="12">
        <v>16</v>
      </c>
      <c r="E95" s="41" t="s">
        <v>2172</v>
      </c>
      <c r="G95" t="s">
        <v>2173</v>
      </c>
      <c r="H95" t="s">
        <v>2174</v>
      </c>
    </row>
    <row r="96" spans="1:12" x14ac:dyDescent="0.25">
      <c r="B96" t="s">
        <v>2067</v>
      </c>
      <c r="C96" t="s">
        <v>2015</v>
      </c>
      <c r="H96" t="s">
        <v>2175</v>
      </c>
    </row>
    <row r="98" spans="2:13" x14ac:dyDescent="0.25">
      <c r="B98" t="s">
        <v>2067</v>
      </c>
      <c r="C98" t="s">
        <v>2015</v>
      </c>
      <c r="D98">
        <v>17</v>
      </c>
      <c r="E98" t="s">
        <v>2176</v>
      </c>
      <c r="G98" t="s">
        <v>2177</v>
      </c>
      <c r="H98" t="s">
        <v>2178</v>
      </c>
    </row>
    <row r="99" spans="2:13" x14ac:dyDescent="0.25">
      <c r="H99" t="s">
        <v>2179</v>
      </c>
    </row>
    <row r="100" spans="2:13" x14ac:dyDescent="0.25">
      <c r="H100" t="s">
        <v>2180</v>
      </c>
    </row>
    <row r="102" spans="2:13" x14ac:dyDescent="0.25">
      <c r="B102" t="s">
        <v>2051</v>
      </c>
      <c r="C102" t="s">
        <v>1975</v>
      </c>
      <c r="D102" s="24">
        <v>18</v>
      </c>
      <c r="E102" s="24" t="s">
        <v>2181</v>
      </c>
      <c r="F102" s="24" t="s">
        <v>2182</v>
      </c>
      <c r="G102" t="s">
        <v>2183</v>
      </c>
      <c r="H102" t="s">
        <v>2184</v>
      </c>
      <c r="J102" t="s">
        <v>2185</v>
      </c>
    </row>
    <row r="103" spans="2:13" x14ac:dyDescent="0.25">
      <c r="C103" t="s">
        <v>1981</v>
      </c>
      <c r="H103" t="s">
        <v>2186</v>
      </c>
    </row>
    <row r="104" spans="2:13" x14ac:dyDescent="0.25">
      <c r="C104" t="s">
        <v>1983</v>
      </c>
      <c r="H104" t="s">
        <v>2187</v>
      </c>
    </row>
    <row r="106" spans="2:13" x14ac:dyDescent="0.25">
      <c r="B106" t="s">
        <v>2067</v>
      </c>
      <c r="C106" t="s">
        <v>2016</v>
      </c>
      <c r="D106" s="24">
        <v>19</v>
      </c>
      <c r="E106" s="24" t="s">
        <v>2188</v>
      </c>
      <c r="F106" s="24" t="s">
        <v>2182</v>
      </c>
      <c r="G106" s="24" t="s">
        <v>2097</v>
      </c>
      <c r="H106" s="24" t="s">
        <v>2189</v>
      </c>
      <c r="I106" s="24"/>
      <c r="J106" t="s">
        <v>2190</v>
      </c>
      <c r="K106" s="24" t="s">
        <v>2191</v>
      </c>
      <c r="M106" t="s">
        <v>2192</v>
      </c>
    </row>
    <row r="108" spans="2:13" x14ac:dyDescent="0.25">
      <c r="B108" t="s">
        <v>2067</v>
      </c>
      <c r="C108" t="s">
        <v>2016</v>
      </c>
      <c r="D108">
        <v>20</v>
      </c>
      <c r="E108" t="s">
        <v>2193</v>
      </c>
      <c r="G108" t="s">
        <v>2194</v>
      </c>
      <c r="H108" t="s">
        <v>2195</v>
      </c>
    </row>
    <row r="109" spans="2:13" x14ac:dyDescent="0.25">
      <c r="H109" t="s">
        <v>2196</v>
      </c>
    </row>
    <row r="111" spans="2:13" x14ac:dyDescent="0.25">
      <c r="B111" t="s">
        <v>2067</v>
      </c>
      <c r="C111" t="s">
        <v>2016</v>
      </c>
      <c r="D111" s="41">
        <v>21</v>
      </c>
      <c r="E111" s="41" t="s">
        <v>2197</v>
      </c>
      <c r="G111" t="s">
        <v>4332</v>
      </c>
      <c r="H111" t="s">
        <v>2199</v>
      </c>
      <c r="J111" t="s">
        <v>2200</v>
      </c>
      <c r="M111" t="s">
        <v>2198</v>
      </c>
    </row>
    <row r="112" spans="2:13" x14ac:dyDescent="0.25">
      <c r="H112" t="s">
        <v>2201</v>
      </c>
    </row>
    <row r="113" spans="2:8" x14ac:dyDescent="0.25">
      <c r="H113" t="s">
        <v>2202</v>
      </c>
    </row>
    <row r="114" spans="2:8" x14ac:dyDescent="0.25">
      <c r="H114" t="s">
        <v>4333</v>
      </c>
    </row>
    <row r="116" spans="2:8" x14ac:dyDescent="0.25">
      <c r="B116" t="s">
        <v>2067</v>
      </c>
      <c r="C116" t="s">
        <v>2015</v>
      </c>
      <c r="D116">
        <v>22</v>
      </c>
      <c r="E116" t="s">
        <v>2203</v>
      </c>
      <c r="G116" t="s">
        <v>2204</v>
      </c>
      <c r="H116" t="s">
        <v>2205</v>
      </c>
    </row>
    <row r="118" spans="2:8" x14ac:dyDescent="0.25">
      <c r="B118" t="s">
        <v>2067</v>
      </c>
      <c r="C118" t="s">
        <v>2016</v>
      </c>
      <c r="D118">
        <v>23</v>
      </c>
      <c r="E118" t="s">
        <v>2206</v>
      </c>
      <c r="G118" t="s">
        <v>2207</v>
      </c>
      <c r="H118" t="s">
        <v>2208</v>
      </c>
    </row>
    <row r="120" spans="2:8" x14ac:dyDescent="0.25">
      <c r="B120" t="s">
        <v>2051</v>
      </c>
      <c r="C120" t="s">
        <v>1983</v>
      </c>
      <c r="D120" s="24">
        <v>24</v>
      </c>
      <c r="E120" s="24" t="s">
        <v>2209</v>
      </c>
      <c r="F120" s="24" t="s">
        <v>2182</v>
      </c>
      <c r="G120" t="s">
        <v>2210</v>
      </c>
      <c r="H120" t="s">
        <v>2211</v>
      </c>
    </row>
    <row r="122" spans="2:8" x14ac:dyDescent="0.25">
      <c r="B122" t="s">
        <v>2067</v>
      </c>
      <c r="C122" t="s">
        <v>2016</v>
      </c>
      <c r="D122" s="41">
        <v>25</v>
      </c>
      <c r="E122" s="41" t="s">
        <v>2212</v>
      </c>
      <c r="G122" t="s">
        <v>2213</v>
      </c>
      <c r="H122" t="s">
        <v>2214</v>
      </c>
    </row>
    <row r="123" spans="2:8" x14ac:dyDescent="0.25">
      <c r="H123" t="s">
        <v>2215</v>
      </c>
    </row>
    <row r="125" spans="2:8" x14ac:dyDescent="0.25">
      <c r="B125" t="s">
        <v>2067</v>
      </c>
      <c r="C125" t="s">
        <v>2015</v>
      </c>
      <c r="D125">
        <v>26</v>
      </c>
      <c r="E125" t="s">
        <v>2216</v>
      </c>
      <c r="G125" t="s">
        <v>2217</v>
      </c>
      <c r="H125" t="s">
        <v>2218</v>
      </c>
    </row>
    <row r="126" spans="2:8" x14ac:dyDescent="0.25">
      <c r="H126" t="s">
        <v>2219</v>
      </c>
    </row>
    <row r="127" spans="2:8" x14ac:dyDescent="0.25">
      <c r="H127" t="s">
        <v>4334</v>
      </c>
    </row>
    <row r="129" spans="2:8" x14ac:dyDescent="0.25">
      <c r="B129" t="s">
        <v>2067</v>
      </c>
      <c r="C129" t="s">
        <v>2015</v>
      </c>
      <c r="D129">
        <v>27</v>
      </c>
      <c r="E129" t="s">
        <v>2220</v>
      </c>
      <c r="G129" t="s">
        <v>2221</v>
      </c>
      <c r="H129" t="s">
        <v>2222</v>
      </c>
    </row>
    <row r="130" spans="2:8" x14ac:dyDescent="0.25">
      <c r="H130" t="s">
        <v>2223</v>
      </c>
    </row>
    <row r="131" spans="2:8" x14ac:dyDescent="0.25">
      <c r="H131" t="s">
        <v>2224</v>
      </c>
    </row>
    <row r="132" spans="2:8" x14ac:dyDescent="0.25">
      <c r="H132" t="s">
        <v>2225</v>
      </c>
    </row>
    <row r="134" spans="2:8" x14ac:dyDescent="0.25">
      <c r="B134" t="s">
        <v>2067</v>
      </c>
      <c r="C134" t="s">
        <v>2015</v>
      </c>
      <c r="D134" s="41">
        <v>28</v>
      </c>
      <c r="E134" s="41" t="s">
        <v>2226</v>
      </c>
      <c r="G134" t="s">
        <v>2227</v>
      </c>
      <c r="H134" t="s">
        <v>2228</v>
      </c>
    </row>
    <row r="135" spans="2:8" x14ac:dyDescent="0.25">
      <c r="H135" t="s">
        <v>2229</v>
      </c>
    </row>
    <row r="136" spans="2:8" x14ac:dyDescent="0.25">
      <c r="H136" t="s">
        <v>2230</v>
      </c>
    </row>
    <row r="138" spans="2:8" x14ac:dyDescent="0.25">
      <c r="B138" t="s">
        <v>2231</v>
      </c>
      <c r="C138" t="s">
        <v>2232</v>
      </c>
      <c r="D138" s="24">
        <v>29</v>
      </c>
      <c r="E138" s="24" t="s">
        <v>2233</v>
      </c>
      <c r="F138" s="24" t="s">
        <v>2182</v>
      </c>
      <c r="G138" t="s">
        <v>2234</v>
      </c>
      <c r="H138" t="s">
        <v>2235</v>
      </c>
    </row>
    <row r="140" spans="2:8" x14ac:dyDescent="0.25">
      <c r="B140" t="s">
        <v>2231</v>
      </c>
      <c r="C140" t="s">
        <v>2232</v>
      </c>
      <c r="D140">
        <v>30</v>
      </c>
      <c r="E140" t="s">
        <v>2236</v>
      </c>
      <c r="F140" s="24" t="s">
        <v>2182</v>
      </c>
      <c r="G140" t="s">
        <v>2237</v>
      </c>
      <c r="H140" t="s">
        <v>2238</v>
      </c>
    </row>
    <row r="142" spans="2:8" x14ac:dyDescent="0.25">
      <c r="B142" t="s">
        <v>2231</v>
      </c>
      <c r="C142" t="s">
        <v>2232</v>
      </c>
      <c r="D142">
        <v>31</v>
      </c>
      <c r="E142" t="s">
        <v>2239</v>
      </c>
      <c r="F142" s="24" t="s">
        <v>2182</v>
      </c>
      <c r="G142" t="s">
        <v>2240</v>
      </c>
      <c r="H142" t="s">
        <v>2241</v>
      </c>
    </row>
    <row r="144" spans="2:8" x14ac:dyDescent="0.25">
      <c r="B144" t="s">
        <v>2067</v>
      </c>
      <c r="C144" t="s">
        <v>2016</v>
      </c>
      <c r="D144">
        <v>32</v>
      </c>
      <c r="E144" t="s">
        <v>2242</v>
      </c>
      <c r="G144" t="s">
        <v>2243</v>
      </c>
      <c r="H144" t="s">
        <v>2244</v>
      </c>
    </row>
    <row r="146" spans="2:9" x14ac:dyDescent="0.25">
      <c r="B146" t="s">
        <v>2067</v>
      </c>
      <c r="C146" t="s">
        <v>2015</v>
      </c>
      <c r="D146">
        <v>33</v>
      </c>
      <c r="E146" t="s">
        <v>2245</v>
      </c>
      <c r="G146" t="s">
        <v>2246</v>
      </c>
      <c r="H146" t="s">
        <v>2247</v>
      </c>
    </row>
    <row r="148" spans="2:9" x14ac:dyDescent="0.25">
      <c r="B148" t="s">
        <v>2067</v>
      </c>
      <c r="C148" t="s">
        <v>2015</v>
      </c>
      <c r="D148">
        <v>34</v>
      </c>
      <c r="E148" t="s">
        <v>2248</v>
      </c>
      <c r="G148" t="s">
        <v>2249</v>
      </c>
      <c r="H148" t="s">
        <v>2250</v>
      </c>
    </row>
    <row r="150" spans="2:9" x14ac:dyDescent="0.25">
      <c r="B150" t="s">
        <v>2067</v>
      </c>
      <c r="C150" t="s">
        <v>2016</v>
      </c>
      <c r="D150">
        <v>35</v>
      </c>
      <c r="E150" t="s">
        <v>2251</v>
      </c>
      <c r="G150" t="s">
        <v>2252</v>
      </c>
      <c r="H150" t="s">
        <v>2253</v>
      </c>
    </row>
    <row r="152" spans="2:9" x14ac:dyDescent="0.25">
      <c r="B152" t="s">
        <v>2231</v>
      </c>
      <c r="C152" t="s">
        <v>2232</v>
      </c>
      <c r="D152">
        <v>36</v>
      </c>
      <c r="E152" t="s">
        <v>4591</v>
      </c>
      <c r="F152" s="24" t="s">
        <v>2182</v>
      </c>
      <c r="G152" t="s">
        <v>4590</v>
      </c>
      <c r="H152" t="s">
        <v>4592</v>
      </c>
      <c r="I152" t="s">
        <v>4596</v>
      </c>
    </row>
    <row r="154" spans="2:9" x14ac:dyDescent="0.25">
      <c r="B154" t="s">
        <v>2231</v>
      </c>
      <c r="C154" t="s">
        <v>2232</v>
      </c>
      <c r="D154">
        <v>37</v>
      </c>
      <c r="E154" t="s">
        <v>4593</v>
      </c>
      <c r="F154" s="24" t="s">
        <v>2182</v>
      </c>
      <c r="G154" t="s">
        <v>4594</v>
      </c>
      <c r="H154" t="s">
        <v>4592</v>
      </c>
      <c r="I154" t="s">
        <v>4595</v>
      </c>
    </row>
    <row r="156" spans="2:9" x14ac:dyDescent="0.25">
      <c r="B156" t="s">
        <v>2231</v>
      </c>
      <c r="C156" t="s">
        <v>2232</v>
      </c>
      <c r="D156">
        <v>38</v>
      </c>
      <c r="E156" t="s">
        <v>4600</v>
      </c>
      <c r="F156" s="24" t="s">
        <v>2182</v>
      </c>
      <c r="G156" t="s">
        <v>4597</v>
      </c>
      <c r="H156" t="s">
        <v>4598</v>
      </c>
      <c r="I156" t="s">
        <v>4599</v>
      </c>
    </row>
    <row r="158" spans="2:9" x14ac:dyDescent="0.25">
      <c r="B158" t="s">
        <v>2231</v>
      </c>
      <c r="C158" t="s">
        <v>2232</v>
      </c>
      <c r="D158">
        <v>39</v>
      </c>
      <c r="E158" t="s">
        <v>4795</v>
      </c>
      <c r="F158" s="24" t="s">
        <v>2182</v>
      </c>
      <c r="G158" t="s">
        <v>4780</v>
      </c>
      <c r="H158" t="s">
        <v>4781</v>
      </c>
      <c r="I158" t="s">
        <v>4786</v>
      </c>
    </row>
    <row r="159" spans="2:9" x14ac:dyDescent="0.25">
      <c r="H159" t="s">
        <v>4782</v>
      </c>
      <c r="I159" t="s">
        <v>4787</v>
      </c>
    </row>
    <row r="161" spans="2:9" x14ac:dyDescent="0.25">
      <c r="B161" t="s">
        <v>2231</v>
      </c>
      <c r="C161" t="s">
        <v>2232</v>
      </c>
      <c r="D161">
        <v>40</v>
      </c>
      <c r="E161" t="s">
        <v>4794</v>
      </c>
      <c r="F161" s="24" t="s">
        <v>2182</v>
      </c>
      <c r="G161" t="s">
        <v>4785</v>
      </c>
      <c r="H161" t="s">
        <v>4783</v>
      </c>
      <c r="I161" t="s">
        <v>4788</v>
      </c>
    </row>
    <row r="162" spans="2:9" x14ac:dyDescent="0.25">
      <c r="H162" t="s">
        <v>4784</v>
      </c>
      <c r="I162" t="s">
        <v>4789</v>
      </c>
    </row>
    <row r="164" spans="2:9" x14ac:dyDescent="0.25">
      <c r="B164" t="s">
        <v>2231</v>
      </c>
      <c r="C164" t="s">
        <v>2232</v>
      </c>
      <c r="D164">
        <v>41</v>
      </c>
      <c r="E164" t="s">
        <v>4796</v>
      </c>
      <c r="F164" s="24" t="s">
        <v>2182</v>
      </c>
      <c r="G164" t="s">
        <v>4793</v>
      </c>
      <c r="H164" t="s">
        <v>4790</v>
      </c>
      <c r="I164" t="s">
        <v>4797</v>
      </c>
    </row>
    <row r="165" spans="2:9" x14ac:dyDescent="0.25">
      <c r="H165" t="s">
        <v>4791</v>
      </c>
      <c r="I165" t="s">
        <v>4798</v>
      </c>
    </row>
    <row r="166" spans="2:9" x14ac:dyDescent="0.25">
      <c r="H166" t="s">
        <v>4792</v>
      </c>
      <c r="I166" t="s">
        <v>4799</v>
      </c>
    </row>
    <row r="168" spans="2:9" x14ac:dyDescent="0.25">
      <c r="B168" t="s">
        <v>2231</v>
      </c>
      <c r="C168" t="s">
        <v>2232</v>
      </c>
      <c r="D168">
        <v>42</v>
      </c>
      <c r="E168" t="s">
        <v>4804</v>
      </c>
      <c r="F168" s="24" t="s">
        <v>2182</v>
      </c>
      <c r="G168" t="s">
        <v>4809</v>
      </c>
      <c r="H168" t="s">
        <v>4800</v>
      </c>
      <c r="I168" t="s">
        <v>4805</v>
      </c>
    </row>
    <row r="169" spans="2:9" x14ac:dyDescent="0.25">
      <c r="H169" t="s">
        <v>4801</v>
      </c>
      <c r="I169" t="s">
        <v>4806</v>
      </c>
    </row>
    <row r="170" spans="2:9" x14ac:dyDescent="0.25">
      <c r="H170" t="s">
        <v>4802</v>
      </c>
      <c r="I170" t="s">
        <v>4807</v>
      </c>
    </row>
    <row r="171" spans="2:9" x14ac:dyDescent="0.25">
      <c r="H171" t="s">
        <v>4803</v>
      </c>
      <c r="I171" t="s">
        <v>4808</v>
      </c>
    </row>
  </sheetData>
  <conditionalFormatting sqref="E2:E155 G154 E157:E160 E162:E163 E165:E167 E169:E1048576">
    <cfRule type="duplicateValues" dxfId="9" priority="6"/>
  </conditionalFormatting>
  <conditionalFormatting sqref="E156 G156:I156">
    <cfRule type="duplicateValues" dxfId="8" priority="4"/>
  </conditionalFormatting>
  <conditionalFormatting sqref="E161 G161">
    <cfRule type="duplicateValues" dxfId="7" priority="3"/>
  </conditionalFormatting>
  <conditionalFormatting sqref="E164 G164">
    <cfRule type="duplicateValues" dxfId="6" priority="2"/>
  </conditionalFormatting>
  <conditionalFormatting sqref="E168 G168">
    <cfRule type="duplicateValues" dxfId="5" priority="1"/>
  </conditionalFormatting>
  <hyperlinks>
    <hyperlink ref="A1" location="contents!A1" display="Contents" xr:uid="{00000000-0004-0000-0D00-000000000000}"/>
    <hyperlink ref="B1" location="contents!A1" display="Contents" xr:uid="{00000000-0004-0000-0D00-000001000000}"/>
    <hyperlink ref="C1" location="contents!A1" display="Contents" xr:uid="{00000000-0004-0000-0D00-000002000000}"/>
    <hyperlink ref="D1" location="contents!A1" display="Contents" xr:uid="{00000000-0004-0000-0D00-000003000000}"/>
    <hyperlink ref="E1" location="contents!A1" display="Contents" xr:uid="{00000000-0004-0000-0D00-000004000000}"/>
    <hyperlink ref="F1" location="contents!A1" display="Contents" xr:uid="{00000000-0004-0000-0D00-000005000000}"/>
    <hyperlink ref="G1" location="contents!A1" display="Contents" xr:uid="{00000000-0004-0000-0D00-000006000000}"/>
    <hyperlink ref="H1" location="contents!A1" display="Contents" xr:uid="{00000000-0004-0000-0D00-000007000000}"/>
    <hyperlink ref="J1" location="contents!A1" display="Contents" xr:uid="{00000000-0004-0000-0D00-000008000000}"/>
    <hyperlink ref="K1" location="contents!A1" display="Contents" xr:uid="{00000000-0004-0000-0D00-000009000000}"/>
    <hyperlink ref="I1" location="contents!A1" display="Contents" xr:uid="{661FE613-9688-4005-A0E4-AB70AA2B5BCB}"/>
  </hyperlinks>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78"/>
  <sheetViews>
    <sheetView topLeftCell="A37" zoomScaleNormal="100" workbookViewId="0">
      <selection activeCell="F72" sqref="F72"/>
    </sheetView>
  </sheetViews>
  <sheetFormatPr defaultColWidth="8.7109375" defaultRowHeight="15" x14ac:dyDescent="0.25"/>
  <cols>
    <col min="1" max="1" width="26.5703125" customWidth="1"/>
    <col min="2" max="2" width="15.28515625" customWidth="1"/>
    <col min="3" max="3" width="36.5703125" customWidth="1"/>
    <col min="4" max="4" width="58.7109375" customWidth="1"/>
    <col min="5" max="5" width="100.28515625" customWidth="1"/>
    <col min="6" max="6" width="52.28515625" customWidth="1"/>
    <col min="7" max="7" width="15.28515625" customWidth="1"/>
    <col min="8" max="8" width="16.5703125" customWidth="1"/>
    <col min="9" max="9" width="25.42578125" customWidth="1"/>
    <col min="10" max="10" width="19.5703125" customWidth="1"/>
    <col min="11" max="11" width="23.85546875" customWidth="1"/>
    <col min="12" max="12" width="26" customWidth="1"/>
    <col min="13" max="13" width="23.5703125" customWidth="1"/>
    <col min="14" max="14" width="25.28515625" customWidth="1"/>
  </cols>
  <sheetData>
    <row r="1" spans="1:14" x14ac:dyDescent="0.25">
      <c r="A1" s="2" t="s">
        <v>0</v>
      </c>
    </row>
    <row r="2" spans="1:14" x14ac:dyDescent="0.25">
      <c r="A2" s="1" t="s">
        <v>23</v>
      </c>
    </row>
    <row r="3" spans="1:14" x14ac:dyDescent="0.25">
      <c r="A3" s="1" t="s">
        <v>884</v>
      </c>
      <c r="B3" s="1" t="s">
        <v>885</v>
      </c>
      <c r="C3" s="1" t="s">
        <v>886</v>
      </c>
      <c r="D3" s="1" t="s">
        <v>887</v>
      </c>
      <c r="E3" s="1" t="s">
        <v>888</v>
      </c>
      <c r="F3" s="1" t="s">
        <v>889</v>
      </c>
      <c r="G3" s="1" t="s">
        <v>2254</v>
      </c>
      <c r="H3" s="1" t="s">
        <v>2255</v>
      </c>
      <c r="I3" s="1" t="s">
        <v>2256</v>
      </c>
      <c r="J3" s="1" t="s">
        <v>893</v>
      </c>
      <c r="K3" s="1" t="s">
        <v>2257</v>
      </c>
      <c r="L3" s="1" t="s">
        <v>2258</v>
      </c>
      <c r="M3" s="1" t="s">
        <v>2259</v>
      </c>
      <c r="N3" s="1" t="s">
        <v>2260</v>
      </c>
    </row>
    <row r="4" spans="1:14" x14ac:dyDescent="0.25">
      <c r="I4" t="s">
        <v>900</v>
      </c>
      <c r="K4" t="s">
        <v>900</v>
      </c>
      <c r="L4" t="s">
        <v>900</v>
      </c>
      <c r="N4" t="s">
        <v>900</v>
      </c>
    </row>
    <row r="5" spans="1:14" x14ac:dyDescent="0.25">
      <c r="I5" t="s">
        <v>910</v>
      </c>
      <c r="K5" t="s">
        <v>910</v>
      </c>
      <c r="L5" t="s">
        <v>910</v>
      </c>
      <c r="N5" t="s">
        <v>910</v>
      </c>
    </row>
    <row r="6" spans="1:14" x14ac:dyDescent="0.25">
      <c r="I6" t="s">
        <v>917</v>
      </c>
      <c r="K6" t="s">
        <v>917</v>
      </c>
      <c r="L6" t="s">
        <v>917</v>
      </c>
      <c r="N6" t="s">
        <v>917</v>
      </c>
    </row>
    <row r="7" spans="1:14" x14ac:dyDescent="0.25">
      <c r="I7" t="s">
        <v>1065</v>
      </c>
      <c r="K7" t="s">
        <v>1065</v>
      </c>
      <c r="L7" t="s">
        <v>1065</v>
      </c>
      <c r="N7" t="s">
        <v>1065</v>
      </c>
    </row>
    <row r="8" spans="1:14" x14ac:dyDescent="0.25">
      <c r="I8" t="s">
        <v>1069</v>
      </c>
      <c r="K8" t="s">
        <v>1069</v>
      </c>
      <c r="L8" t="s">
        <v>1069</v>
      </c>
      <c r="N8" t="s">
        <v>1069</v>
      </c>
    </row>
    <row r="9" spans="1:14" x14ac:dyDescent="0.25">
      <c r="I9" t="s">
        <v>1074</v>
      </c>
      <c r="K9" t="s">
        <v>1074</v>
      </c>
      <c r="L9" t="s">
        <v>1074</v>
      </c>
      <c r="N9" t="s">
        <v>1074</v>
      </c>
    </row>
    <row r="10" spans="1:14" x14ac:dyDescent="0.25">
      <c r="I10" t="s">
        <v>1137</v>
      </c>
      <c r="K10" t="s">
        <v>1137</v>
      </c>
    </row>
    <row r="11" spans="1:14" x14ac:dyDescent="0.25">
      <c r="I11" t="s">
        <v>916</v>
      </c>
      <c r="K11" t="s">
        <v>916</v>
      </c>
    </row>
    <row r="12" spans="1:14" x14ac:dyDescent="0.25">
      <c r="B12" s="20">
        <v>0</v>
      </c>
      <c r="C12" s="20" t="s">
        <v>2261</v>
      </c>
      <c r="D12" s="20" t="s">
        <v>2262</v>
      </c>
      <c r="E12" s="20" t="s">
        <v>2263</v>
      </c>
      <c r="F12" s="20" t="s">
        <v>1926</v>
      </c>
      <c r="I12" t="s">
        <v>2264</v>
      </c>
      <c r="K12" t="s">
        <v>2264</v>
      </c>
    </row>
    <row r="13" spans="1:14" x14ac:dyDescent="0.25">
      <c r="A13" s="62" t="s">
        <v>2265</v>
      </c>
      <c r="B13" s="62">
        <v>1</v>
      </c>
      <c r="C13" s="62" t="s">
        <v>2266</v>
      </c>
      <c r="D13" s="62"/>
      <c r="E13" s="62" t="s">
        <v>2267</v>
      </c>
      <c r="F13" s="62" t="s">
        <v>2268</v>
      </c>
      <c r="I13" t="s">
        <v>2265</v>
      </c>
    </row>
    <row r="14" spans="1:14" x14ac:dyDescent="0.25">
      <c r="A14" s="62" t="s">
        <v>2269</v>
      </c>
      <c r="I14" t="s">
        <v>1180</v>
      </c>
    </row>
    <row r="15" spans="1:14" x14ac:dyDescent="0.25">
      <c r="A15" s="62" t="s">
        <v>2270</v>
      </c>
      <c r="I15" t="s">
        <v>2271</v>
      </c>
    </row>
    <row r="16" spans="1:14" x14ac:dyDescent="0.25">
      <c r="A16" s="62" t="s">
        <v>2272</v>
      </c>
      <c r="I16" t="s">
        <v>2273</v>
      </c>
    </row>
    <row r="17" spans="1:11" x14ac:dyDescent="0.25">
      <c r="A17" s="62" t="s">
        <v>2274</v>
      </c>
      <c r="I17" t="s">
        <v>2275</v>
      </c>
    </row>
    <row r="18" spans="1:11" x14ac:dyDescent="0.25">
      <c r="A18" s="62" t="s">
        <v>2276</v>
      </c>
      <c r="I18" t="s">
        <v>2277</v>
      </c>
    </row>
    <row r="19" spans="1:11" x14ac:dyDescent="0.25">
      <c r="A19" s="62" t="s">
        <v>1837</v>
      </c>
      <c r="I19" t="s">
        <v>1837</v>
      </c>
    </row>
    <row r="20" spans="1:11" x14ac:dyDescent="0.25">
      <c r="A20" s="62" t="s">
        <v>2278</v>
      </c>
      <c r="I20" t="s">
        <v>2278</v>
      </c>
    </row>
    <row r="21" spans="1:11" x14ac:dyDescent="0.25">
      <c r="A21" s="62" t="s">
        <v>2279</v>
      </c>
      <c r="I21" t="s">
        <v>2279</v>
      </c>
    </row>
    <row r="22" spans="1:11" x14ac:dyDescent="0.25">
      <c r="B22" s="20">
        <v>2</v>
      </c>
      <c r="C22" s="20" t="s">
        <v>1055</v>
      </c>
      <c r="D22" s="20" t="s">
        <v>1057</v>
      </c>
      <c r="E22" s="20" t="s">
        <v>1056</v>
      </c>
      <c r="F22" s="20" t="s">
        <v>1057</v>
      </c>
      <c r="K22" s="12"/>
    </row>
    <row r="25" spans="1:11" x14ac:dyDescent="0.25">
      <c r="B25" s="20">
        <v>3</v>
      </c>
      <c r="C25" s="20" t="s">
        <v>2280</v>
      </c>
      <c r="D25" s="20" t="s">
        <v>2281</v>
      </c>
      <c r="E25" s="20" t="s">
        <v>2282</v>
      </c>
      <c r="F25" s="20" t="s">
        <v>2281</v>
      </c>
    </row>
    <row r="27" spans="1:11" x14ac:dyDescent="0.25">
      <c r="A27" s="36" t="s">
        <v>2283</v>
      </c>
      <c r="B27" s="36">
        <v>4</v>
      </c>
      <c r="C27" s="36" t="s">
        <v>2284</v>
      </c>
      <c r="D27" s="36"/>
      <c r="E27" s="36" t="s">
        <v>4459</v>
      </c>
      <c r="F27" s="36" t="s">
        <v>2285</v>
      </c>
      <c r="K27" t="s">
        <v>2286</v>
      </c>
    </row>
    <row r="28" spans="1:11" x14ac:dyDescent="0.25">
      <c r="A28" s="36" t="s">
        <v>2287</v>
      </c>
      <c r="F28" s="36" t="s">
        <v>2288</v>
      </c>
      <c r="K28" t="s">
        <v>1180</v>
      </c>
    </row>
    <row r="29" spans="1:11" x14ac:dyDescent="0.25">
      <c r="A29" s="36" t="s">
        <v>2289</v>
      </c>
      <c r="F29" s="36" t="s">
        <v>4458</v>
      </c>
      <c r="K29" t="s">
        <v>2271</v>
      </c>
    </row>
    <row r="30" spans="1:11" x14ac:dyDescent="0.25">
      <c r="A30" s="36" t="s">
        <v>2290</v>
      </c>
      <c r="K30" t="s">
        <v>2273</v>
      </c>
    </row>
    <row r="31" spans="1:11" x14ac:dyDescent="0.25">
      <c r="A31" s="36" t="s">
        <v>2291</v>
      </c>
      <c r="K31" t="s">
        <v>2275</v>
      </c>
    </row>
    <row r="32" spans="1:11" x14ac:dyDescent="0.25">
      <c r="A32" s="36" t="s">
        <v>2292</v>
      </c>
      <c r="K32" t="s">
        <v>2292</v>
      </c>
    </row>
    <row r="33" spans="1:12" x14ac:dyDescent="0.25">
      <c r="A33" s="36" t="s">
        <v>2293</v>
      </c>
      <c r="K33" t="s">
        <v>2293</v>
      </c>
    </row>
    <row r="34" spans="1:12" x14ac:dyDescent="0.25">
      <c r="A34" s="36"/>
      <c r="D34" s="13" t="s">
        <v>1198</v>
      </c>
    </row>
    <row r="35" spans="1:12" x14ac:dyDescent="0.25">
      <c r="A35" s="36"/>
    </row>
    <row r="36" spans="1:12" x14ac:dyDescent="0.25">
      <c r="A36" s="36"/>
    </row>
    <row r="38" spans="1:12" x14ac:dyDescent="0.25">
      <c r="B38" s="20">
        <v>5</v>
      </c>
      <c r="C38" s="20" t="s">
        <v>2294</v>
      </c>
      <c r="D38" s="20" t="s">
        <v>2295</v>
      </c>
      <c r="E38" s="20" t="s">
        <v>2296</v>
      </c>
      <c r="F38" s="20" t="s">
        <v>2295</v>
      </c>
    </row>
    <row r="39" spans="1:12" x14ac:dyDescent="0.25">
      <c r="A39" s="32" t="s">
        <v>1027</v>
      </c>
      <c r="L39" t="s">
        <v>1027</v>
      </c>
    </row>
    <row r="40" spans="1:12" x14ac:dyDescent="0.25">
      <c r="A40" s="32" t="s">
        <v>1185</v>
      </c>
      <c r="B40" s="32">
        <v>6</v>
      </c>
      <c r="C40" s="32" t="s">
        <v>2297</v>
      </c>
      <c r="D40" s="32"/>
      <c r="E40" s="32" t="s">
        <v>2298</v>
      </c>
      <c r="F40" s="32" t="s">
        <v>2299</v>
      </c>
      <c r="L40" t="s">
        <v>1185</v>
      </c>
    </row>
    <row r="41" spans="1:12" x14ac:dyDescent="0.25">
      <c r="A41" s="32" t="s">
        <v>2010</v>
      </c>
      <c r="F41" s="32" t="s">
        <v>2300</v>
      </c>
      <c r="L41" t="s">
        <v>2010</v>
      </c>
    </row>
    <row r="42" spans="1:12" x14ac:dyDescent="0.25">
      <c r="A42" s="32" t="s">
        <v>2301</v>
      </c>
      <c r="F42" s="32" t="s">
        <v>2302</v>
      </c>
      <c r="L42" t="s">
        <v>2301</v>
      </c>
    </row>
    <row r="43" spans="1:12" x14ac:dyDescent="0.25">
      <c r="A43" s="32" t="s">
        <v>2303</v>
      </c>
      <c r="F43" s="32" t="s">
        <v>2304</v>
      </c>
      <c r="L43" t="s">
        <v>2303</v>
      </c>
    </row>
    <row r="44" spans="1:12" x14ac:dyDescent="0.25">
      <c r="A44" s="32" t="s">
        <v>2305</v>
      </c>
      <c r="L44" t="s">
        <v>2305</v>
      </c>
    </row>
    <row r="45" spans="1:12" x14ac:dyDescent="0.25">
      <c r="A45" s="32" t="s">
        <v>2306</v>
      </c>
      <c r="L45" t="s">
        <v>2307</v>
      </c>
    </row>
    <row r="46" spans="1:12" x14ac:dyDescent="0.25">
      <c r="A46" s="32" t="s">
        <v>2308</v>
      </c>
      <c r="L46" t="s">
        <v>2309</v>
      </c>
    </row>
    <row r="47" spans="1:12" x14ac:dyDescent="0.25">
      <c r="D47" s="13" t="s">
        <v>1198</v>
      </c>
    </row>
    <row r="53" spans="1:14" x14ac:dyDescent="0.25">
      <c r="B53" s="20">
        <v>7</v>
      </c>
      <c r="C53" s="20" t="s">
        <v>2310</v>
      </c>
      <c r="D53" s="20" t="s">
        <v>2311</v>
      </c>
      <c r="E53" s="20" t="s">
        <v>2312</v>
      </c>
      <c r="F53" s="20" t="s">
        <v>2311</v>
      </c>
    </row>
    <row r="55" spans="1:14" x14ac:dyDescent="0.25">
      <c r="A55" s="35" t="s">
        <v>2313</v>
      </c>
      <c r="B55" s="35">
        <v>8</v>
      </c>
      <c r="C55" s="35" t="s">
        <v>2314</v>
      </c>
      <c r="D55" s="35"/>
      <c r="E55" s="35" t="s">
        <v>2315</v>
      </c>
      <c r="F55" s="35" t="s">
        <v>2316</v>
      </c>
      <c r="N55" s="35" t="s">
        <v>1085</v>
      </c>
    </row>
    <row r="56" spans="1:14" x14ac:dyDescent="0.25">
      <c r="F56" s="35" t="s">
        <v>2317</v>
      </c>
      <c r="N56" s="35" t="s">
        <v>2318</v>
      </c>
    </row>
    <row r="58" spans="1:14" x14ac:dyDescent="0.25">
      <c r="A58" s="37" t="s">
        <v>2319</v>
      </c>
      <c r="B58" s="37">
        <v>9</v>
      </c>
      <c r="C58" s="37" t="s">
        <v>2320</v>
      </c>
      <c r="D58" s="37"/>
      <c r="E58" s="37" t="s">
        <v>2321</v>
      </c>
      <c r="F58" s="37" t="s">
        <v>2322</v>
      </c>
      <c r="M58" s="37" t="s">
        <v>2319</v>
      </c>
      <c r="N58" s="37" t="s">
        <v>2319</v>
      </c>
    </row>
    <row r="59" spans="1:14" x14ac:dyDescent="0.25">
      <c r="A59" s="37" t="s">
        <v>2323</v>
      </c>
      <c r="F59" s="37" t="s">
        <v>2324</v>
      </c>
      <c r="M59" s="37" t="s">
        <v>2323</v>
      </c>
      <c r="N59" s="37" t="s">
        <v>2323</v>
      </c>
    </row>
    <row r="60" spans="1:14" x14ac:dyDescent="0.25">
      <c r="A60" s="37" t="s">
        <v>2325</v>
      </c>
      <c r="F60" s="37" t="s">
        <v>2326</v>
      </c>
      <c r="M60" s="37" t="s">
        <v>2325</v>
      </c>
      <c r="N60" s="37" t="s">
        <v>2325</v>
      </c>
    </row>
    <row r="61" spans="1:14" x14ac:dyDescent="0.25">
      <c r="A61" s="37" t="s">
        <v>2327</v>
      </c>
      <c r="F61" s="37"/>
      <c r="M61" s="37" t="s">
        <v>2327</v>
      </c>
      <c r="N61" s="37" t="s">
        <v>2327</v>
      </c>
    </row>
    <row r="62" spans="1:14" x14ac:dyDescent="0.25">
      <c r="A62" s="37" t="s">
        <v>2328</v>
      </c>
      <c r="F62" s="37"/>
      <c r="M62" s="37" t="s">
        <v>2328</v>
      </c>
      <c r="N62" s="37" t="s">
        <v>2328</v>
      </c>
    </row>
    <row r="63" spans="1:14" x14ac:dyDescent="0.25">
      <c r="A63" s="37" t="s">
        <v>2329</v>
      </c>
      <c r="F63" s="37"/>
      <c r="M63" s="37" t="s">
        <v>2329</v>
      </c>
      <c r="N63" s="37" t="s">
        <v>2329</v>
      </c>
    </row>
    <row r="64" spans="1:14" x14ac:dyDescent="0.25">
      <c r="A64" s="37" t="s">
        <v>2330</v>
      </c>
      <c r="F64" s="37"/>
      <c r="M64" s="37" t="s">
        <v>2330</v>
      </c>
      <c r="N64" s="37" t="s">
        <v>2330</v>
      </c>
    </row>
    <row r="65" spans="1:14" x14ac:dyDescent="0.25">
      <c r="A65" s="37" t="s">
        <v>2331</v>
      </c>
      <c r="F65" s="37"/>
      <c r="M65" s="37" t="s">
        <v>2331</v>
      </c>
      <c r="N65" s="37" t="s">
        <v>2331</v>
      </c>
    </row>
    <row r="66" spans="1:14" x14ac:dyDescent="0.25">
      <c r="A66" s="37" t="s">
        <v>2332</v>
      </c>
      <c r="F66" s="37"/>
      <c r="M66" s="37" t="s">
        <v>2332</v>
      </c>
      <c r="N66" s="37" t="s">
        <v>2332</v>
      </c>
    </row>
    <row r="67" spans="1:14" x14ac:dyDescent="0.25">
      <c r="A67" s="37" t="s">
        <v>2333</v>
      </c>
      <c r="F67" s="37"/>
      <c r="M67" s="37" t="s">
        <v>2333</v>
      </c>
      <c r="N67" s="37" t="s">
        <v>2333</v>
      </c>
    </row>
    <row r="68" spans="1:14" x14ac:dyDescent="0.25">
      <c r="A68" s="37" t="s">
        <v>2334</v>
      </c>
      <c r="F68" s="37"/>
      <c r="M68" s="37" t="s">
        <v>2334</v>
      </c>
      <c r="N68" s="37" t="s">
        <v>2334</v>
      </c>
    </row>
    <row r="69" spans="1:14" x14ac:dyDescent="0.25">
      <c r="A69" s="37" t="s">
        <v>2335</v>
      </c>
      <c r="F69" s="37"/>
      <c r="M69" s="37" t="s">
        <v>2335</v>
      </c>
      <c r="N69" s="37" t="s">
        <v>2335</v>
      </c>
    </row>
    <row r="71" spans="1:14" x14ac:dyDescent="0.25">
      <c r="A71" s="25" t="s">
        <v>2336</v>
      </c>
      <c r="B71" s="25">
        <v>10</v>
      </c>
      <c r="C71" s="25" t="s">
        <v>2337</v>
      </c>
      <c r="D71" s="25"/>
      <c r="E71" s="25" t="s">
        <v>4461</v>
      </c>
      <c r="F71" s="25" t="s">
        <v>2338</v>
      </c>
      <c r="N71" s="25" t="s">
        <v>2339</v>
      </c>
    </row>
    <row r="72" spans="1:14" x14ac:dyDescent="0.25">
      <c r="A72" s="25" t="s">
        <v>2340</v>
      </c>
      <c r="F72" s="25" t="s">
        <v>4460</v>
      </c>
      <c r="N72" s="25" t="s">
        <v>1180</v>
      </c>
    </row>
    <row r="73" spans="1:14" x14ac:dyDescent="0.25">
      <c r="A73" s="25" t="s">
        <v>2341</v>
      </c>
      <c r="N73" s="25" t="s">
        <v>2342</v>
      </c>
    </row>
    <row r="74" spans="1:14" x14ac:dyDescent="0.25">
      <c r="A74" s="25" t="s">
        <v>2343</v>
      </c>
      <c r="N74" s="25" t="s">
        <v>2343</v>
      </c>
    </row>
    <row r="75" spans="1:14" x14ac:dyDescent="0.25">
      <c r="A75" s="25" t="s">
        <v>2344</v>
      </c>
      <c r="N75" s="25" t="s">
        <v>2345</v>
      </c>
    </row>
    <row r="77" spans="1:14" x14ac:dyDescent="0.25">
      <c r="C77" s="20" t="s">
        <v>2346</v>
      </c>
      <c r="D77" t="s">
        <v>2347</v>
      </c>
      <c r="E77" s="20" t="s">
        <v>2348</v>
      </c>
      <c r="F77" s="20" t="s">
        <v>2338</v>
      </c>
    </row>
    <row r="78" spans="1:14" x14ac:dyDescent="0.25">
      <c r="F78" s="20" t="s">
        <v>1057</v>
      </c>
    </row>
  </sheetData>
  <hyperlinks>
    <hyperlink ref="A1" location="contents!A1" display="Contents" xr:uid="{00000000-0004-0000-0E00-000000000000}"/>
  </hyperlink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73"/>
  <sheetViews>
    <sheetView topLeftCell="A16" zoomScaleNormal="100" workbookViewId="0">
      <selection activeCell="E62" sqref="E62"/>
    </sheetView>
  </sheetViews>
  <sheetFormatPr defaultColWidth="8.7109375" defaultRowHeight="15" x14ac:dyDescent="0.25"/>
  <cols>
    <col min="1" max="1" width="27.85546875" customWidth="1"/>
    <col min="2" max="2" width="12.28515625" customWidth="1"/>
    <col min="3" max="3" width="34.85546875" customWidth="1"/>
    <col min="4" max="4" width="48.28515625" customWidth="1"/>
    <col min="5" max="5" width="76.28515625" customWidth="1"/>
    <col min="6" max="6" width="57.85546875" customWidth="1"/>
    <col min="7" max="7" width="23.140625" customWidth="1"/>
    <col min="8" max="8" width="22.85546875" customWidth="1"/>
    <col min="9" max="9" width="23.85546875" customWidth="1"/>
    <col min="10" max="10" width="26.140625" customWidth="1"/>
    <col min="11" max="11" width="26" customWidth="1"/>
    <col min="12" max="12" width="30.85546875" customWidth="1"/>
    <col min="13" max="13" width="29" customWidth="1"/>
    <col min="14" max="14" width="21.85546875" customWidth="1"/>
    <col min="15" max="15" width="24.85546875" customWidth="1"/>
    <col min="16" max="16" width="18.5703125" customWidth="1"/>
  </cols>
  <sheetData>
    <row r="1" spans="1:16" x14ac:dyDescent="0.25">
      <c r="A1" s="2" t="s">
        <v>0</v>
      </c>
    </row>
    <row r="2" spans="1:16" x14ac:dyDescent="0.25">
      <c r="A2" s="1" t="s">
        <v>25</v>
      </c>
    </row>
    <row r="3" spans="1:16" x14ac:dyDescent="0.25">
      <c r="A3" s="1" t="s">
        <v>884</v>
      </c>
      <c r="B3" s="1" t="s">
        <v>885</v>
      </c>
      <c r="C3" s="1" t="s">
        <v>886</v>
      </c>
      <c r="D3" s="1" t="s">
        <v>887</v>
      </c>
      <c r="E3" s="1" t="s">
        <v>888</v>
      </c>
      <c r="F3" s="1" t="s">
        <v>889</v>
      </c>
      <c r="G3" s="1" t="s">
        <v>2349</v>
      </c>
      <c r="H3" s="1" t="s">
        <v>2350</v>
      </c>
      <c r="I3" s="1" t="s">
        <v>2351</v>
      </c>
      <c r="J3" s="1" t="s">
        <v>2352</v>
      </c>
      <c r="K3" s="1" t="s">
        <v>2353</v>
      </c>
      <c r="L3" s="1" t="s">
        <v>2354</v>
      </c>
      <c r="M3" s="1" t="s">
        <v>2355</v>
      </c>
      <c r="N3" s="1" t="s">
        <v>2356</v>
      </c>
      <c r="O3" s="1" t="s">
        <v>2357</v>
      </c>
      <c r="P3" s="1" t="s">
        <v>2358</v>
      </c>
    </row>
    <row r="4" spans="1:16" x14ac:dyDescent="0.25">
      <c r="H4" s="12"/>
      <c r="I4" s="12" t="s">
        <v>900</v>
      </c>
      <c r="J4" s="12" t="s">
        <v>900</v>
      </c>
      <c r="K4" s="12" t="s">
        <v>900</v>
      </c>
      <c r="L4" s="12" t="s">
        <v>900</v>
      </c>
      <c r="M4" s="12" t="s">
        <v>900</v>
      </c>
      <c r="O4" s="12" t="s">
        <v>900</v>
      </c>
      <c r="P4" s="12" t="s">
        <v>900</v>
      </c>
    </row>
    <row r="5" spans="1:16" x14ac:dyDescent="0.25">
      <c r="I5" t="s">
        <v>910</v>
      </c>
      <c r="J5" t="s">
        <v>910</v>
      </c>
      <c r="K5" t="s">
        <v>910</v>
      </c>
      <c r="L5" t="s">
        <v>910</v>
      </c>
      <c r="M5" t="s">
        <v>910</v>
      </c>
      <c r="O5" t="s">
        <v>910</v>
      </c>
      <c r="P5" t="s">
        <v>910</v>
      </c>
    </row>
    <row r="6" spans="1:16" x14ac:dyDescent="0.25">
      <c r="H6" s="64"/>
      <c r="I6" s="24" t="s">
        <v>917</v>
      </c>
      <c r="J6" s="24" t="s">
        <v>917</v>
      </c>
      <c r="K6" s="24" t="s">
        <v>917</v>
      </c>
      <c r="L6" s="24" t="s">
        <v>917</v>
      </c>
      <c r="M6" s="24" t="s">
        <v>917</v>
      </c>
      <c r="O6" s="24" t="s">
        <v>917</v>
      </c>
      <c r="P6" s="24" t="s">
        <v>917</v>
      </c>
    </row>
    <row r="7" spans="1:16" x14ac:dyDescent="0.25">
      <c r="H7" s="12"/>
      <c r="I7" s="12" t="s">
        <v>2359</v>
      </c>
      <c r="J7" s="12" t="s">
        <v>2359</v>
      </c>
      <c r="K7" s="12" t="s">
        <v>2359</v>
      </c>
      <c r="L7" s="12" t="s">
        <v>2359</v>
      </c>
      <c r="M7" s="12" t="s">
        <v>1065</v>
      </c>
      <c r="O7" s="12" t="s">
        <v>1065</v>
      </c>
      <c r="P7" s="12" t="s">
        <v>1065</v>
      </c>
    </row>
    <row r="8" spans="1:16" x14ac:dyDescent="0.25">
      <c r="B8">
        <v>0</v>
      </c>
      <c r="C8" s="20" t="s">
        <v>2360</v>
      </c>
      <c r="D8" s="20" t="s">
        <v>2361</v>
      </c>
      <c r="E8" s="20" t="s">
        <v>2362</v>
      </c>
      <c r="F8" s="20" t="s">
        <v>2361</v>
      </c>
      <c r="H8" s="12"/>
      <c r="I8" s="12" t="s">
        <v>2363</v>
      </c>
      <c r="J8" s="12" t="s">
        <v>2363</v>
      </c>
      <c r="K8" s="12" t="s">
        <v>2363</v>
      </c>
      <c r="L8" s="12" t="s">
        <v>2363</v>
      </c>
      <c r="M8" s="12" t="s">
        <v>1069</v>
      </c>
      <c r="O8" s="12" t="s">
        <v>1069</v>
      </c>
      <c r="P8" s="12" t="s">
        <v>1069</v>
      </c>
    </row>
    <row r="9" spans="1:16" x14ac:dyDescent="0.25">
      <c r="C9" s="20"/>
      <c r="D9" s="20"/>
      <c r="E9" s="20"/>
      <c r="F9" s="20"/>
      <c r="H9" s="64"/>
      <c r="I9" s="12" t="s">
        <v>2364</v>
      </c>
      <c r="J9" s="12" t="s">
        <v>2364</v>
      </c>
      <c r="K9" s="12" t="s">
        <v>2364</v>
      </c>
      <c r="L9" s="12" t="s">
        <v>2364</v>
      </c>
      <c r="M9" t="s">
        <v>1074</v>
      </c>
      <c r="O9" t="s">
        <v>1074</v>
      </c>
      <c r="P9" t="s">
        <v>1074</v>
      </c>
    </row>
    <row r="10" spans="1:16" x14ac:dyDescent="0.25">
      <c r="A10" s="37" t="s">
        <v>2365</v>
      </c>
      <c r="B10" s="37">
        <v>1</v>
      </c>
      <c r="C10" s="37" t="s">
        <v>2366</v>
      </c>
      <c r="D10" s="37"/>
      <c r="E10" s="37" t="s">
        <v>2367</v>
      </c>
      <c r="F10" s="37" t="s">
        <v>2368</v>
      </c>
      <c r="H10" s="12"/>
      <c r="I10" s="12" t="s">
        <v>2369</v>
      </c>
      <c r="J10" s="12" t="s">
        <v>2369</v>
      </c>
      <c r="K10" s="12" t="s">
        <v>2369</v>
      </c>
      <c r="L10" s="12" t="s">
        <v>2369</v>
      </c>
      <c r="M10" s="12" t="s">
        <v>2369</v>
      </c>
      <c r="O10" s="12" t="s">
        <v>2369</v>
      </c>
      <c r="P10" s="12" t="s">
        <v>2369</v>
      </c>
    </row>
    <row r="11" spans="1:16" x14ac:dyDescent="0.25">
      <c r="A11" s="37" t="s">
        <v>2370</v>
      </c>
      <c r="B11" s="12"/>
      <c r="C11" s="12"/>
      <c r="D11" s="12"/>
      <c r="E11" s="12"/>
      <c r="F11" s="12"/>
      <c r="I11" s="12" t="s">
        <v>2371</v>
      </c>
      <c r="M11" s="12"/>
    </row>
    <row r="12" spans="1:16" x14ac:dyDescent="0.25">
      <c r="A12" s="52" t="s">
        <v>2372</v>
      </c>
      <c r="B12" s="52">
        <v>2</v>
      </c>
      <c r="C12" s="52" t="s">
        <v>2373</v>
      </c>
      <c r="D12" s="52"/>
      <c r="E12" s="52" t="s">
        <v>2374</v>
      </c>
      <c r="F12" s="52" t="s">
        <v>2375</v>
      </c>
      <c r="I12" s="12" t="s">
        <v>2376</v>
      </c>
    </row>
    <row r="13" spans="1:16" x14ac:dyDescent="0.25">
      <c r="A13" s="36" t="s">
        <v>2377</v>
      </c>
      <c r="B13" s="36">
        <v>3</v>
      </c>
      <c r="C13" s="36" t="s">
        <v>2378</v>
      </c>
      <c r="D13" s="36"/>
      <c r="E13" s="36" t="s">
        <v>2379</v>
      </c>
      <c r="F13" s="36" t="s">
        <v>2380</v>
      </c>
      <c r="I13" s="12" t="s">
        <v>2381</v>
      </c>
    </row>
    <row r="14" spans="1:16" x14ac:dyDescent="0.25">
      <c r="A14" s="36" t="s">
        <v>2382</v>
      </c>
      <c r="I14" s="12" t="s">
        <v>2383</v>
      </c>
    </row>
    <row r="15" spans="1:16" x14ac:dyDescent="0.25">
      <c r="A15" s="36" t="s">
        <v>2384</v>
      </c>
      <c r="I15" s="12" t="s">
        <v>2385</v>
      </c>
    </row>
    <row r="16" spans="1:16" x14ac:dyDescent="0.25">
      <c r="A16" s="36" t="s">
        <v>2386</v>
      </c>
      <c r="I16" s="12" t="s">
        <v>2387</v>
      </c>
    </row>
    <row r="17" spans="1:11" x14ac:dyDescent="0.25">
      <c r="A17" s="36" t="s">
        <v>2388</v>
      </c>
      <c r="I17" s="12" t="s">
        <v>2389</v>
      </c>
    </row>
    <row r="18" spans="1:11" x14ac:dyDescent="0.25">
      <c r="B18" s="20">
        <v>4</v>
      </c>
      <c r="C18" s="20" t="s">
        <v>1055</v>
      </c>
      <c r="D18" s="20" t="s">
        <v>2390</v>
      </c>
      <c r="E18" s="20" t="s">
        <v>2391</v>
      </c>
      <c r="F18" s="20" t="s">
        <v>2390</v>
      </c>
      <c r="I18" s="12" t="s">
        <v>2392</v>
      </c>
    </row>
    <row r="20" spans="1:11" x14ac:dyDescent="0.25">
      <c r="B20" s="20">
        <v>5</v>
      </c>
      <c r="C20" s="20" t="s">
        <v>2393</v>
      </c>
      <c r="D20" s="20" t="s">
        <v>2394</v>
      </c>
      <c r="E20" s="20" t="s">
        <v>2395</v>
      </c>
      <c r="F20" s="20" t="s">
        <v>2394</v>
      </c>
    </row>
    <row r="21" spans="1:11" x14ac:dyDescent="0.25">
      <c r="B21" s="20">
        <v>6</v>
      </c>
      <c r="C21" s="20" t="s">
        <v>2396</v>
      </c>
      <c r="D21" s="20" t="s">
        <v>2397</v>
      </c>
      <c r="E21" s="20" t="s">
        <v>2398</v>
      </c>
      <c r="F21" s="20" t="s">
        <v>2397</v>
      </c>
    </row>
    <row r="22" spans="1:11" x14ac:dyDescent="0.25">
      <c r="A22" s="65" t="s">
        <v>2399</v>
      </c>
      <c r="B22" s="43">
        <v>7</v>
      </c>
      <c r="C22" s="43" t="s">
        <v>2400</v>
      </c>
      <c r="D22" s="43"/>
      <c r="E22" s="43" t="s">
        <v>2401</v>
      </c>
      <c r="F22" s="43" t="s">
        <v>2402</v>
      </c>
      <c r="J22" t="s">
        <v>2403</v>
      </c>
    </row>
    <row r="23" spans="1:11" x14ac:dyDescent="0.25">
      <c r="A23" s="65" t="s">
        <v>2404</v>
      </c>
      <c r="B23" s="65">
        <v>7</v>
      </c>
      <c r="C23" s="65" t="s">
        <v>2405</v>
      </c>
      <c r="D23" s="65"/>
      <c r="E23" s="65" t="s">
        <v>2406</v>
      </c>
      <c r="F23" s="65" t="s">
        <v>2407</v>
      </c>
      <c r="J23" t="s">
        <v>2408</v>
      </c>
    </row>
    <row r="24" spans="1:11" x14ac:dyDescent="0.25">
      <c r="A24" s="65" t="s">
        <v>2409</v>
      </c>
      <c r="J24" t="s">
        <v>2410</v>
      </c>
    </row>
    <row r="25" spans="1:11" x14ac:dyDescent="0.25">
      <c r="A25" s="43" t="s">
        <v>2411</v>
      </c>
      <c r="J25" t="s">
        <v>2412</v>
      </c>
    </row>
    <row r="26" spans="1:11" x14ac:dyDescent="0.25">
      <c r="A26" s="43" t="s">
        <v>2413</v>
      </c>
      <c r="J26" t="s">
        <v>2414</v>
      </c>
    </row>
    <row r="27" spans="1:11" x14ac:dyDescent="0.25">
      <c r="A27" s="43" t="s">
        <v>2301</v>
      </c>
      <c r="J27" t="s">
        <v>2301</v>
      </c>
    </row>
    <row r="28" spans="1:11" x14ac:dyDescent="0.25">
      <c r="D28" t="s">
        <v>2415</v>
      </c>
      <c r="E28" s="66"/>
    </row>
    <row r="30" spans="1:11" x14ac:dyDescent="0.25">
      <c r="A30" s="43" t="s">
        <v>2411</v>
      </c>
      <c r="K30" t="s">
        <v>2412</v>
      </c>
    </row>
    <row r="31" spans="1:11" x14ac:dyDescent="0.25">
      <c r="A31" s="43" t="s">
        <v>2404</v>
      </c>
      <c r="K31" t="s">
        <v>2408</v>
      </c>
    </row>
    <row r="32" spans="1:11" x14ac:dyDescent="0.25">
      <c r="A32" s="43" t="s">
        <v>2413</v>
      </c>
      <c r="K32" t="s">
        <v>2414</v>
      </c>
    </row>
    <row r="33" spans="1:23" x14ac:dyDescent="0.25">
      <c r="D33" t="s">
        <v>2415</v>
      </c>
    </row>
    <row r="35" spans="1:23" x14ac:dyDescent="0.25">
      <c r="B35" s="20">
        <v>8</v>
      </c>
      <c r="C35" s="20" t="s">
        <v>2416</v>
      </c>
      <c r="D35" s="20" t="s">
        <v>2417</v>
      </c>
      <c r="E35" s="20" t="s">
        <v>2418</v>
      </c>
      <c r="F35" s="20" t="s">
        <v>2417</v>
      </c>
    </row>
    <row r="36" spans="1:23" x14ac:dyDescent="0.25">
      <c r="A36" s="53" t="s">
        <v>1075</v>
      </c>
      <c r="B36" s="53">
        <v>9</v>
      </c>
      <c r="C36" s="53" t="s">
        <v>2419</v>
      </c>
      <c r="D36" s="53"/>
      <c r="E36" s="53" t="s">
        <v>2420</v>
      </c>
      <c r="F36" s="53" t="s">
        <v>2421</v>
      </c>
      <c r="L36" t="s">
        <v>2422</v>
      </c>
    </row>
    <row r="37" spans="1:23" x14ac:dyDescent="0.25">
      <c r="A37" s="53" t="s">
        <v>2423</v>
      </c>
      <c r="L37" t="s">
        <v>2424</v>
      </c>
    </row>
    <row r="38" spans="1:23" x14ac:dyDescent="0.25">
      <c r="A38" s="67" t="s">
        <v>2425</v>
      </c>
      <c r="B38" s="67">
        <v>10</v>
      </c>
      <c r="C38" s="67" t="s">
        <v>2426</v>
      </c>
      <c r="D38" s="67"/>
      <c r="E38" s="67" t="s">
        <v>2427</v>
      </c>
      <c r="F38" s="67" t="s">
        <v>2428</v>
      </c>
      <c r="L38" t="s">
        <v>2429</v>
      </c>
    </row>
    <row r="39" spans="1:23" x14ac:dyDescent="0.25">
      <c r="A39" s="67" t="s">
        <v>2301</v>
      </c>
      <c r="L39" t="s">
        <v>2430</v>
      </c>
    </row>
    <row r="40" spans="1:23" x14ac:dyDescent="0.25">
      <c r="B40" s="20">
        <v>11</v>
      </c>
      <c r="C40" s="20" t="s">
        <v>2431</v>
      </c>
      <c r="D40" s="20"/>
      <c r="E40" s="20" t="s">
        <v>2432</v>
      </c>
      <c r="F40" s="20"/>
    </row>
    <row r="41" spans="1:23" x14ac:dyDescent="0.25">
      <c r="D41" t="s">
        <v>2415</v>
      </c>
    </row>
    <row r="44" spans="1:23" x14ac:dyDescent="0.25">
      <c r="B44" s="20">
        <v>12</v>
      </c>
      <c r="C44" s="20" t="s">
        <v>2433</v>
      </c>
      <c r="D44" s="20" t="s">
        <v>2434</v>
      </c>
      <c r="E44" s="20" t="s">
        <v>2435</v>
      </c>
      <c r="F44" s="20" t="s">
        <v>2434</v>
      </c>
    </row>
    <row r="45" spans="1:23" x14ac:dyDescent="0.25">
      <c r="B45" s="20"/>
      <c r="C45" s="20"/>
      <c r="D45" s="20"/>
      <c r="E45" s="20"/>
      <c r="F45" s="20" t="s">
        <v>2436</v>
      </c>
    </row>
    <row r="46" spans="1:23" x14ac:dyDescent="0.25">
      <c r="A46" s="41" t="s">
        <v>2437</v>
      </c>
      <c r="B46" s="41">
        <v>13</v>
      </c>
      <c r="C46" s="41" t="s">
        <v>2438</v>
      </c>
      <c r="D46" s="41"/>
      <c r="E46" s="41" t="s">
        <v>2439</v>
      </c>
      <c r="F46" s="41" t="s">
        <v>2440</v>
      </c>
      <c r="M46" t="s">
        <v>2441</v>
      </c>
      <c r="W46" s="41" t="s">
        <v>2442</v>
      </c>
    </row>
    <row r="47" spans="1:23" x14ac:dyDescent="0.25">
      <c r="A47" s="41" t="s">
        <v>2443</v>
      </c>
      <c r="F47" s="41" t="s">
        <v>2444</v>
      </c>
      <c r="M47" t="s">
        <v>1027</v>
      </c>
    </row>
    <row r="48" spans="1:23" x14ac:dyDescent="0.25">
      <c r="A48" s="41" t="s">
        <v>2445</v>
      </c>
      <c r="M48" t="s">
        <v>1185</v>
      </c>
    </row>
    <row r="49" spans="1:15" x14ac:dyDescent="0.25">
      <c r="A49" s="41" t="s">
        <v>2446</v>
      </c>
      <c r="M49" t="s">
        <v>2271</v>
      </c>
    </row>
    <row r="50" spans="1:15" x14ac:dyDescent="0.25">
      <c r="A50" s="41" t="s">
        <v>2447</v>
      </c>
      <c r="M50" t="s">
        <v>2448</v>
      </c>
    </row>
    <row r="51" spans="1:15" x14ac:dyDescent="0.25">
      <c r="A51" s="41" t="s">
        <v>2449</v>
      </c>
      <c r="M51" t="s">
        <v>2273</v>
      </c>
    </row>
    <row r="52" spans="1:15" x14ac:dyDescent="0.25">
      <c r="A52" s="41" t="s">
        <v>2450</v>
      </c>
      <c r="M52" t="s">
        <v>2450</v>
      </c>
    </row>
    <row r="53" spans="1:15" x14ac:dyDescent="0.25">
      <c r="D53" t="s">
        <v>2415</v>
      </c>
    </row>
    <row r="55" spans="1:15" x14ac:dyDescent="0.25">
      <c r="B55" s="20">
        <v>14</v>
      </c>
      <c r="C55" s="20" t="s">
        <v>2451</v>
      </c>
      <c r="D55" s="20" t="s">
        <v>2452</v>
      </c>
      <c r="E55" s="20" t="s">
        <v>2453</v>
      </c>
      <c r="F55" s="20" t="s">
        <v>2452</v>
      </c>
    </row>
    <row r="56" spans="1:15" x14ac:dyDescent="0.25">
      <c r="A56" s="64" t="s">
        <v>2454</v>
      </c>
      <c r="B56" s="64">
        <v>15</v>
      </c>
      <c r="C56" s="64" t="s">
        <v>2455</v>
      </c>
      <c r="D56" s="64"/>
      <c r="E56" s="64" t="s">
        <v>2456</v>
      </c>
      <c r="F56" s="64" t="s">
        <v>2457</v>
      </c>
      <c r="N56" s="64" t="s">
        <v>2458</v>
      </c>
      <c r="O56" t="s">
        <v>2459</v>
      </c>
    </row>
    <row r="57" spans="1:15" x14ac:dyDescent="0.25">
      <c r="A57" s="64" t="s">
        <v>2460</v>
      </c>
      <c r="N57" s="64" t="s">
        <v>2461</v>
      </c>
      <c r="O57" t="s">
        <v>2462</v>
      </c>
    </row>
    <row r="58" spans="1:15" x14ac:dyDescent="0.25">
      <c r="A58" s="64" t="s">
        <v>2463</v>
      </c>
      <c r="N58" s="64" t="s">
        <v>2464</v>
      </c>
      <c r="O58" t="s">
        <v>2465</v>
      </c>
    </row>
    <row r="59" spans="1:15" x14ac:dyDescent="0.25">
      <c r="A59" s="64" t="s">
        <v>2466</v>
      </c>
      <c r="N59" s="64" t="s">
        <v>2467</v>
      </c>
      <c r="O59" t="s">
        <v>2468</v>
      </c>
    </row>
    <row r="60" spans="1:15" x14ac:dyDescent="0.25">
      <c r="A60" s="64" t="s">
        <v>2469</v>
      </c>
      <c r="N60" s="64" t="s">
        <v>2470</v>
      </c>
      <c r="O60" t="s">
        <v>2471</v>
      </c>
    </row>
    <row r="61" spans="1:15" x14ac:dyDescent="0.25">
      <c r="A61" s="64" t="s">
        <v>2472</v>
      </c>
      <c r="O61" t="s">
        <v>2473</v>
      </c>
    </row>
    <row r="62" spans="1:15" x14ac:dyDescent="0.25">
      <c r="A62" s="64" t="s">
        <v>2474</v>
      </c>
      <c r="O62" t="s">
        <v>2475</v>
      </c>
    </row>
    <row r="63" spans="1:15" x14ac:dyDescent="0.25">
      <c r="A63" s="64" t="s">
        <v>2476</v>
      </c>
      <c r="O63" t="s">
        <v>2477</v>
      </c>
    </row>
    <row r="64" spans="1:15" x14ac:dyDescent="0.25">
      <c r="A64" s="64" t="s">
        <v>2478</v>
      </c>
      <c r="O64" t="s">
        <v>2479</v>
      </c>
    </row>
    <row r="65" spans="1:16" x14ac:dyDescent="0.25">
      <c r="A65" s="64" t="s">
        <v>2480</v>
      </c>
      <c r="O65" t="s">
        <v>2481</v>
      </c>
    </row>
    <row r="67" spans="1:16" x14ac:dyDescent="0.25">
      <c r="B67" s="20">
        <v>16</v>
      </c>
      <c r="C67" s="20" t="s">
        <v>2482</v>
      </c>
      <c r="D67" s="20" t="s">
        <v>2483</v>
      </c>
      <c r="E67" s="20" t="s">
        <v>2484</v>
      </c>
      <c r="F67" s="20" t="s">
        <v>2485</v>
      </c>
    </row>
    <row r="68" spans="1:16" x14ac:dyDescent="0.25">
      <c r="F68" s="20" t="s">
        <v>2483</v>
      </c>
    </row>
    <row r="69" spans="1:16" x14ac:dyDescent="0.25">
      <c r="A69" s="67" t="s">
        <v>2486</v>
      </c>
      <c r="B69" s="67">
        <v>17</v>
      </c>
      <c r="C69" s="67" t="s">
        <v>2487</v>
      </c>
      <c r="D69" s="67" t="s">
        <v>2483</v>
      </c>
      <c r="E69" s="67" t="s">
        <v>2488</v>
      </c>
      <c r="F69" s="67" t="s">
        <v>2489</v>
      </c>
      <c r="P69" t="s">
        <v>2486</v>
      </c>
    </row>
    <row r="70" spans="1:16" x14ac:dyDescent="0.25">
      <c r="A70" s="67" t="s">
        <v>2490</v>
      </c>
      <c r="F70" s="67" t="s">
        <v>2491</v>
      </c>
      <c r="P70" t="s">
        <v>2490</v>
      </c>
    </row>
    <row r="71" spans="1:16" x14ac:dyDescent="0.25">
      <c r="A71" s="67" t="s">
        <v>2313</v>
      </c>
      <c r="F71" s="67" t="s">
        <v>2492</v>
      </c>
      <c r="P71" t="s">
        <v>2313</v>
      </c>
    </row>
    <row r="72" spans="1:16" x14ac:dyDescent="0.25">
      <c r="A72" s="67" t="s">
        <v>2493</v>
      </c>
      <c r="P72" t="s">
        <v>2493</v>
      </c>
    </row>
    <row r="73" spans="1:16" x14ac:dyDescent="0.25">
      <c r="A73" s="67" t="s">
        <v>2494</v>
      </c>
      <c r="P73" t="s">
        <v>2494</v>
      </c>
    </row>
  </sheetData>
  <hyperlinks>
    <hyperlink ref="A1" location="contents!A1" display="Contents" xr:uid="{00000000-0004-0000-0F00-000000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40"/>
  <sheetViews>
    <sheetView zoomScaleNormal="100" workbookViewId="0">
      <selection activeCell="E24" sqref="E24"/>
    </sheetView>
  </sheetViews>
  <sheetFormatPr defaultColWidth="8.7109375" defaultRowHeight="15" x14ac:dyDescent="0.25"/>
  <cols>
    <col min="1" max="1" width="34.140625" customWidth="1"/>
    <col min="2" max="2" width="12.140625" customWidth="1"/>
    <col min="3" max="3" width="28.28515625" customWidth="1"/>
    <col min="4" max="4" width="57" customWidth="1"/>
    <col min="5" max="5" width="77.42578125" customWidth="1"/>
    <col min="6" max="6" width="42" customWidth="1"/>
    <col min="7" max="7" width="24.140625" customWidth="1"/>
    <col min="8" max="8" width="20.140625" customWidth="1"/>
    <col min="9" max="9" width="22.7109375" customWidth="1"/>
    <col min="10" max="10" width="22.5703125" customWidth="1"/>
    <col min="14" max="14" width="24.7109375" customWidth="1"/>
  </cols>
  <sheetData>
    <row r="1" spans="1:22" x14ac:dyDescent="0.25">
      <c r="A1" s="2" t="s">
        <v>0</v>
      </c>
    </row>
    <row r="2" spans="1:22" x14ac:dyDescent="0.25">
      <c r="A2" s="1" t="s">
        <v>27</v>
      </c>
    </row>
    <row r="3" spans="1:22" x14ac:dyDescent="0.25">
      <c r="A3" s="1" t="s">
        <v>884</v>
      </c>
      <c r="B3" s="1" t="s">
        <v>885</v>
      </c>
      <c r="C3" s="1" t="s">
        <v>886</v>
      </c>
      <c r="D3" s="1" t="s">
        <v>887</v>
      </c>
      <c r="E3" s="1" t="s">
        <v>888</v>
      </c>
      <c r="F3" s="1" t="s">
        <v>889</v>
      </c>
      <c r="G3" s="1" t="s">
        <v>2495</v>
      </c>
      <c r="H3" s="1" t="s">
        <v>2496</v>
      </c>
      <c r="I3" s="1" t="s">
        <v>2497</v>
      </c>
      <c r="J3" s="1" t="s">
        <v>893</v>
      </c>
    </row>
    <row r="4" spans="1:22" x14ac:dyDescent="0.25">
      <c r="I4" t="s">
        <v>900</v>
      </c>
    </row>
    <row r="5" spans="1:22" x14ac:dyDescent="0.25">
      <c r="I5" t="s">
        <v>910</v>
      </c>
    </row>
    <row r="6" spans="1:22" x14ac:dyDescent="0.25">
      <c r="I6" t="s">
        <v>917</v>
      </c>
    </row>
    <row r="7" spans="1:22" x14ac:dyDescent="0.25">
      <c r="N7" s="24" t="s">
        <v>1065</v>
      </c>
      <c r="O7" s="24" t="s">
        <v>1065</v>
      </c>
      <c r="P7" t="s">
        <v>1065</v>
      </c>
    </row>
    <row r="8" spans="1:22" x14ac:dyDescent="0.25">
      <c r="B8" s="20">
        <v>0</v>
      </c>
      <c r="C8" s="20" t="s">
        <v>2498</v>
      </c>
      <c r="D8" s="20" t="s">
        <v>2499</v>
      </c>
      <c r="E8" s="20" t="s">
        <v>2500</v>
      </c>
      <c r="F8" s="20" t="s">
        <v>2499</v>
      </c>
      <c r="N8" s="24" t="s">
        <v>1928</v>
      </c>
      <c r="O8" s="24" t="s">
        <v>1928</v>
      </c>
      <c r="P8" t="s">
        <v>1068</v>
      </c>
    </row>
    <row r="9" spans="1:22" x14ac:dyDescent="0.25">
      <c r="N9" s="24" t="s">
        <v>1074</v>
      </c>
      <c r="O9" s="24" t="s">
        <v>1074</v>
      </c>
      <c r="P9" t="s">
        <v>1074</v>
      </c>
    </row>
    <row r="15" spans="1:22" x14ac:dyDescent="0.25">
      <c r="A15" s="43" t="s">
        <v>2501</v>
      </c>
      <c r="B15" s="43">
        <v>1</v>
      </c>
      <c r="C15" s="43" t="s">
        <v>26</v>
      </c>
      <c r="D15" s="43"/>
      <c r="E15" s="43" t="s">
        <v>5107</v>
      </c>
      <c r="F15" s="43" t="s">
        <v>2503</v>
      </c>
      <c r="I15" t="s">
        <v>2501</v>
      </c>
      <c r="V15" s="43" t="s">
        <v>2502</v>
      </c>
    </row>
    <row r="16" spans="1:22" x14ac:dyDescent="0.25">
      <c r="A16" s="43" t="s">
        <v>2504</v>
      </c>
      <c r="B16" s="43"/>
      <c r="C16" s="43"/>
      <c r="D16" s="43"/>
      <c r="E16" s="43"/>
      <c r="F16" s="43" t="s">
        <v>2505</v>
      </c>
      <c r="I16" t="s">
        <v>2010</v>
      </c>
    </row>
    <row r="17" spans="1:11" x14ac:dyDescent="0.25">
      <c r="A17" s="43" t="s">
        <v>2506</v>
      </c>
      <c r="B17" s="43"/>
      <c r="C17" s="43"/>
      <c r="D17" s="43"/>
      <c r="E17" s="43"/>
      <c r="F17" s="43" t="s">
        <v>2507</v>
      </c>
      <c r="I17" t="s">
        <v>2504</v>
      </c>
    </row>
    <row r="18" spans="1:11" x14ac:dyDescent="0.25">
      <c r="A18" s="43" t="s">
        <v>2508</v>
      </c>
      <c r="B18" s="43"/>
      <c r="C18" s="43"/>
      <c r="D18" s="43"/>
      <c r="E18" s="43"/>
      <c r="F18" s="43" t="s">
        <v>2509</v>
      </c>
      <c r="I18" t="s">
        <v>2510</v>
      </c>
    </row>
    <row r="19" spans="1:11" x14ac:dyDescent="0.25">
      <c r="A19" s="43"/>
      <c r="B19" s="43"/>
      <c r="C19" s="43"/>
      <c r="D19" s="43"/>
      <c r="E19" s="43"/>
      <c r="F19" s="43" t="s">
        <v>5108</v>
      </c>
    </row>
    <row r="20" spans="1:11" x14ac:dyDescent="0.25">
      <c r="A20" s="12"/>
      <c r="B20" s="12"/>
      <c r="C20" s="12"/>
      <c r="D20" s="12"/>
      <c r="E20" s="12"/>
      <c r="F20" s="12"/>
      <c r="G20" s="12"/>
      <c r="H20" s="12"/>
      <c r="I20" t="s">
        <v>2508</v>
      </c>
      <c r="J20" s="12"/>
      <c r="K20" s="12"/>
    </row>
    <row r="21" spans="1:11" x14ac:dyDescent="0.25">
      <c r="A21" s="12"/>
      <c r="B21" s="20">
        <v>2</v>
      </c>
      <c r="C21" s="20" t="s">
        <v>1055</v>
      </c>
      <c r="D21" s="20"/>
      <c r="E21" s="20" t="s">
        <v>1056</v>
      </c>
      <c r="F21" s="20" t="s">
        <v>1057</v>
      </c>
    </row>
    <row r="22" spans="1:11" x14ac:dyDescent="0.25">
      <c r="A22" s="12"/>
      <c r="D22" t="s">
        <v>1057</v>
      </c>
    </row>
    <row r="23" spans="1:11" x14ac:dyDescent="0.25">
      <c r="A23" s="12"/>
    </row>
    <row r="24" spans="1:11" x14ac:dyDescent="0.25">
      <c r="A24" s="12"/>
    </row>
    <row r="25" spans="1:11" x14ac:dyDescent="0.25">
      <c r="A25" s="12"/>
    </row>
    <row r="26" spans="1:11" x14ac:dyDescent="0.25">
      <c r="A26" s="12"/>
    </row>
    <row r="27" spans="1:11" x14ac:dyDescent="0.25">
      <c r="A27" s="12"/>
    </row>
    <row r="28" spans="1:11" x14ac:dyDescent="0.25">
      <c r="A28" s="12"/>
    </row>
    <row r="29" spans="1:11" x14ac:dyDescent="0.25">
      <c r="A29" s="12"/>
    </row>
    <row r="30" spans="1:11" x14ac:dyDescent="0.25">
      <c r="A30" s="12"/>
    </row>
    <row r="31" spans="1:11" x14ac:dyDescent="0.25">
      <c r="A31" s="12"/>
    </row>
    <row r="32" spans="1:11" x14ac:dyDescent="0.25">
      <c r="A32" s="12"/>
    </row>
    <row r="33" spans="1:1" x14ac:dyDescent="0.25">
      <c r="A33" s="12"/>
    </row>
    <row r="34" spans="1:1" x14ac:dyDescent="0.25">
      <c r="A34" s="12"/>
    </row>
    <row r="35" spans="1:1" x14ac:dyDescent="0.25">
      <c r="A35" s="12"/>
    </row>
    <row r="36" spans="1:1" x14ac:dyDescent="0.25">
      <c r="A36" s="12"/>
    </row>
    <row r="37" spans="1:1" x14ac:dyDescent="0.25">
      <c r="A37" s="12"/>
    </row>
    <row r="38" spans="1:1" x14ac:dyDescent="0.25">
      <c r="A38" s="12"/>
    </row>
    <row r="39" spans="1:1" x14ac:dyDescent="0.25">
      <c r="A39" s="12"/>
    </row>
    <row r="40" spans="1:1" x14ac:dyDescent="0.25">
      <c r="A40" s="12"/>
    </row>
  </sheetData>
  <hyperlinks>
    <hyperlink ref="A1" location="contents!A1" display="Contents" xr:uid="{00000000-0004-0000-1000-000000000000}"/>
  </hyperlink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41"/>
  <sheetViews>
    <sheetView topLeftCell="E1" zoomScaleNormal="100" workbookViewId="0">
      <selection activeCell="D12" sqref="D12"/>
    </sheetView>
  </sheetViews>
  <sheetFormatPr defaultColWidth="9.140625" defaultRowHeight="15" x14ac:dyDescent="0.25"/>
  <cols>
    <col min="1" max="1" width="32.7109375" customWidth="1"/>
    <col min="2" max="2" width="11" customWidth="1"/>
    <col min="3" max="3" width="23.28515625" customWidth="1"/>
    <col min="4" max="4" width="40.7109375" customWidth="1"/>
    <col min="5" max="5" width="56.5703125" customWidth="1"/>
    <col min="6" max="6" width="63.42578125" customWidth="1"/>
    <col min="7" max="7" width="23" customWidth="1"/>
    <col min="8" max="8" width="23.5703125" customWidth="1"/>
    <col min="9" max="9" width="21.42578125" customWidth="1"/>
    <col min="10" max="10" width="30.7109375" customWidth="1"/>
    <col min="11" max="11" width="22" customWidth="1"/>
  </cols>
  <sheetData>
    <row r="1" spans="1:11" x14ac:dyDescent="0.25">
      <c r="A1" s="2" t="s">
        <v>0</v>
      </c>
    </row>
    <row r="2" spans="1:11" x14ac:dyDescent="0.25">
      <c r="A2" s="1" t="s">
        <v>29</v>
      </c>
    </row>
    <row r="3" spans="1:11" x14ac:dyDescent="0.25">
      <c r="A3" s="1" t="s">
        <v>884</v>
      </c>
      <c r="B3" s="1" t="s">
        <v>885</v>
      </c>
      <c r="C3" s="1" t="s">
        <v>886</v>
      </c>
      <c r="D3" s="1" t="s">
        <v>887</v>
      </c>
      <c r="E3" s="1" t="s">
        <v>888</v>
      </c>
      <c r="F3" s="1" t="s">
        <v>889</v>
      </c>
      <c r="G3" s="1" t="s">
        <v>2511</v>
      </c>
      <c r="H3" s="1" t="s">
        <v>893</v>
      </c>
      <c r="I3" s="1" t="s">
        <v>2512</v>
      </c>
      <c r="J3" s="1" t="s">
        <v>2513</v>
      </c>
      <c r="K3" s="1" t="s">
        <v>893</v>
      </c>
    </row>
    <row r="4" spans="1:11" x14ac:dyDescent="0.25">
      <c r="G4" s="24" t="s">
        <v>900</v>
      </c>
      <c r="H4" t="s">
        <v>2514</v>
      </c>
      <c r="J4" s="24" t="s">
        <v>900</v>
      </c>
      <c r="K4" t="s">
        <v>2514</v>
      </c>
    </row>
    <row r="5" spans="1:11" x14ac:dyDescent="0.25">
      <c r="B5">
        <v>0</v>
      </c>
      <c r="C5" s="20" t="s">
        <v>2515</v>
      </c>
      <c r="D5" s="20"/>
      <c r="E5" s="20" t="s">
        <v>2516</v>
      </c>
      <c r="F5" s="20" t="s">
        <v>2517</v>
      </c>
      <c r="G5" s="24" t="s">
        <v>910</v>
      </c>
      <c r="H5" t="s">
        <v>2514</v>
      </c>
      <c r="J5" s="24" t="s">
        <v>910</v>
      </c>
      <c r="K5" t="s">
        <v>2514</v>
      </c>
    </row>
    <row r="6" spans="1:11" x14ac:dyDescent="0.25">
      <c r="G6" s="24" t="s">
        <v>917</v>
      </c>
      <c r="H6" t="s">
        <v>2514</v>
      </c>
      <c r="J6" s="24" t="s">
        <v>917</v>
      </c>
      <c r="K6" t="s">
        <v>2514</v>
      </c>
    </row>
    <row r="7" spans="1:11" x14ac:dyDescent="0.25">
      <c r="A7" s="39" t="s">
        <v>2518</v>
      </c>
      <c r="B7" s="39">
        <v>0</v>
      </c>
      <c r="C7" s="39" t="s">
        <v>1077</v>
      </c>
      <c r="D7" s="39"/>
      <c r="E7" s="39" t="s">
        <v>2519</v>
      </c>
      <c r="F7" s="39" t="s">
        <v>2520</v>
      </c>
      <c r="G7" s="24" t="s">
        <v>2521</v>
      </c>
      <c r="H7" t="s">
        <v>2514</v>
      </c>
      <c r="J7" s="24" t="s">
        <v>2521</v>
      </c>
      <c r="K7" t="s">
        <v>2514</v>
      </c>
    </row>
    <row r="8" spans="1:11" x14ac:dyDescent="0.25">
      <c r="A8" s="39" t="s">
        <v>2522</v>
      </c>
      <c r="G8" s="24" t="s">
        <v>2523</v>
      </c>
      <c r="H8" t="s">
        <v>2514</v>
      </c>
      <c r="J8" s="24" t="s">
        <v>2523</v>
      </c>
      <c r="K8" t="s">
        <v>2514</v>
      </c>
    </row>
    <row r="9" spans="1:11" x14ac:dyDescent="0.25">
      <c r="A9" s="39" t="s">
        <v>2524</v>
      </c>
      <c r="G9" s="24" t="s">
        <v>2525</v>
      </c>
      <c r="H9" t="s">
        <v>2514</v>
      </c>
      <c r="J9" s="24" t="s">
        <v>2525</v>
      </c>
      <c r="K9" t="s">
        <v>2514</v>
      </c>
    </row>
    <row r="10" spans="1:11" x14ac:dyDescent="0.25">
      <c r="A10" s="39" t="s">
        <v>2526</v>
      </c>
      <c r="G10" s="24" t="s">
        <v>1076</v>
      </c>
      <c r="H10" t="s">
        <v>2514</v>
      </c>
      <c r="J10" s="24" t="s">
        <v>1076</v>
      </c>
      <c r="K10" t="s">
        <v>2514</v>
      </c>
    </row>
    <row r="11" spans="1:11" x14ac:dyDescent="0.25">
      <c r="A11" s="39" t="s">
        <v>2527</v>
      </c>
      <c r="D11" s="39" t="s">
        <v>2390</v>
      </c>
      <c r="G11" s="24" t="s">
        <v>2528</v>
      </c>
      <c r="H11" t="s">
        <v>2514</v>
      </c>
    </row>
    <row r="12" spans="1:11" x14ac:dyDescent="0.25">
      <c r="G12" s="24" t="s">
        <v>2529</v>
      </c>
      <c r="H12" t="s">
        <v>2514</v>
      </c>
    </row>
    <row r="13" spans="1:11" x14ac:dyDescent="0.25">
      <c r="G13" t="s">
        <v>2530</v>
      </c>
    </row>
    <row r="14" spans="1:11" x14ac:dyDescent="0.25">
      <c r="G14" s="24" t="s">
        <v>2531</v>
      </c>
      <c r="H14" t="s">
        <v>2514</v>
      </c>
    </row>
    <row r="15" spans="1:11" x14ac:dyDescent="0.25">
      <c r="G15" s="24" t="s">
        <v>2532</v>
      </c>
      <c r="H15" t="s">
        <v>2514</v>
      </c>
    </row>
    <row r="16" spans="1:11" x14ac:dyDescent="0.25">
      <c r="G16" t="s">
        <v>2533</v>
      </c>
    </row>
    <row r="17" spans="1:11" x14ac:dyDescent="0.25">
      <c r="G17" s="24" t="s">
        <v>2527</v>
      </c>
      <c r="H17" t="s">
        <v>2514</v>
      </c>
    </row>
    <row r="18" spans="1:11" x14ac:dyDescent="0.25">
      <c r="B18" s="20">
        <v>4</v>
      </c>
      <c r="C18" s="20" t="s">
        <v>2534</v>
      </c>
      <c r="D18" s="20" t="s">
        <v>2535</v>
      </c>
      <c r="E18" s="20" t="s">
        <v>2536</v>
      </c>
      <c r="F18" s="20" t="s">
        <v>2535</v>
      </c>
    </row>
    <row r="20" spans="1:11" x14ac:dyDescent="0.25">
      <c r="B20" s="25">
        <v>5</v>
      </c>
      <c r="C20" s="25" t="s">
        <v>2537</v>
      </c>
      <c r="D20" s="25"/>
      <c r="E20" s="25" t="s">
        <v>2538</v>
      </c>
      <c r="F20" s="25" t="s">
        <v>2539</v>
      </c>
    </row>
    <row r="23" spans="1:11" x14ac:dyDescent="0.25">
      <c r="A23" s="32" t="s">
        <v>2527</v>
      </c>
      <c r="B23" s="32">
        <v>6</v>
      </c>
      <c r="C23" s="32" t="s">
        <v>2540</v>
      </c>
      <c r="D23" s="32"/>
      <c r="E23" s="32" t="s">
        <v>2541</v>
      </c>
      <c r="F23" s="32" t="s">
        <v>2542</v>
      </c>
      <c r="I23" s="32" t="s">
        <v>2527</v>
      </c>
      <c r="J23" s="24" t="s">
        <v>2543</v>
      </c>
      <c r="K23" t="s">
        <v>2514</v>
      </c>
    </row>
    <row r="24" spans="1:11" x14ac:dyDescent="0.25">
      <c r="A24" s="32" t="s">
        <v>2010</v>
      </c>
      <c r="I24" s="32" t="s">
        <v>2010</v>
      </c>
      <c r="J24" t="s">
        <v>2544</v>
      </c>
      <c r="K24" t="s">
        <v>2514</v>
      </c>
    </row>
    <row r="25" spans="1:11" x14ac:dyDescent="0.25">
      <c r="A25" s="32" t="s">
        <v>1949</v>
      </c>
      <c r="I25" s="32" t="s">
        <v>1949</v>
      </c>
      <c r="J25" s="24" t="s">
        <v>2545</v>
      </c>
      <c r="K25" t="s">
        <v>2514</v>
      </c>
    </row>
    <row r="26" spans="1:11" x14ac:dyDescent="0.25">
      <c r="A26" s="32" t="s">
        <v>2546</v>
      </c>
      <c r="I26" s="32"/>
    </row>
    <row r="27" spans="1:11" x14ac:dyDescent="0.25">
      <c r="A27" s="32" t="s">
        <v>1988</v>
      </c>
      <c r="I27" s="32" t="s">
        <v>1988</v>
      </c>
      <c r="J27" t="s">
        <v>2547</v>
      </c>
    </row>
    <row r="28" spans="1:11" x14ac:dyDescent="0.25">
      <c r="A28" s="32" t="s">
        <v>2548</v>
      </c>
      <c r="I28" s="32" t="s">
        <v>2548</v>
      </c>
      <c r="J28" t="s">
        <v>2549</v>
      </c>
    </row>
    <row r="29" spans="1:11" x14ac:dyDescent="0.25">
      <c r="A29" s="32" t="s">
        <v>1980</v>
      </c>
      <c r="I29" s="32" t="s">
        <v>1980</v>
      </c>
      <c r="J29" t="s">
        <v>2550</v>
      </c>
    </row>
    <row r="30" spans="1:11" x14ac:dyDescent="0.25">
      <c r="A30" s="32" t="s">
        <v>2551</v>
      </c>
      <c r="I30" s="32" t="s">
        <v>2551</v>
      </c>
      <c r="J30" t="s">
        <v>2552</v>
      </c>
    </row>
    <row r="31" spans="1:11" x14ac:dyDescent="0.25">
      <c r="A31" s="32" t="s">
        <v>2553</v>
      </c>
      <c r="I31" s="32" t="s">
        <v>2553</v>
      </c>
      <c r="J31" t="s">
        <v>2554</v>
      </c>
    </row>
    <row r="32" spans="1:11" x14ac:dyDescent="0.25">
      <c r="A32" s="12" t="s">
        <v>2555</v>
      </c>
      <c r="J32" t="s">
        <v>2556</v>
      </c>
    </row>
    <row r="33" spans="1:10" x14ac:dyDescent="0.25">
      <c r="A33" s="52" t="s">
        <v>2557</v>
      </c>
      <c r="B33" s="52">
        <v>7</v>
      </c>
      <c r="C33" s="52" t="s">
        <v>2558</v>
      </c>
      <c r="D33" s="52"/>
      <c r="E33" s="52" t="s">
        <v>2559</v>
      </c>
      <c r="F33" s="52" t="s">
        <v>2560</v>
      </c>
      <c r="J33" t="s">
        <v>1476</v>
      </c>
    </row>
    <row r="34" spans="1:10" x14ac:dyDescent="0.25">
      <c r="A34" s="52" t="s">
        <v>2561</v>
      </c>
      <c r="J34" t="s">
        <v>2271</v>
      </c>
    </row>
    <row r="35" spans="1:10" x14ac:dyDescent="0.25">
      <c r="A35" s="52" t="s">
        <v>2562</v>
      </c>
      <c r="J35" t="s">
        <v>2561</v>
      </c>
    </row>
    <row r="36" spans="1:10" x14ac:dyDescent="0.25">
      <c r="A36" s="52" t="s">
        <v>2563</v>
      </c>
      <c r="J36" t="s">
        <v>2562</v>
      </c>
    </row>
    <row r="37" spans="1:10" x14ac:dyDescent="0.25">
      <c r="A37" s="51" t="s">
        <v>2564</v>
      </c>
      <c r="B37" s="51">
        <v>8</v>
      </c>
      <c r="C37" s="51" t="s">
        <v>2565</v>
      </c>
      <c r="D37" s="51"/>
      <c r="E37" s="51" t="s">
        <v>2566</v>
      </c>
      <c r="F37" s="51" t="s">
        <v>2567</v>
      </c>
      <c r="J37" t="s">
        <v>2563</v>
      </c>
    </row>
    <row r="38" spans="1:10" x14ac:dyDescent="0.25">
      <c r="A38" s="51" t="s">
        <v>2568</v>
      </c>
      <c r="J38" t="s">
        <v>2564</v>
      </c>
    </row>
    <row r="39" spans="1:10" x14ac:dyDescent="0.25">
      <c r="A39" s="51" t="s">
        <v>2569</v>
      </c>
      <c r="J39" t="s">
        <v>2568</v>
      </c>
    </row>
    <row r="40" spans="1:10" x14ac:dyDescent="0.25">
      <c r="B40" s="20">
        <v>9</v>
      </c>
      <c r="C40" s="20" t="s">
        <v>2570</v>
      </c>
      <c r="D40" s="20"/>
      <c r="E40" s="20" t="s">
        <v>2571</v>
      </c>
      <c r="F40" s="20"/>
      <c r="J40" t="s">
        <v>2569</v>
      </c>
    </row>
    <row r="41" spans="1:10" x14ac:dyDescent="0.25">
      <c r="B41" s="20">
        <v>10</v>
      </c>
      <c r="C41" s="20" t="s">
        <v>1055</v>
      </c>
      <c r="D41" s="20"/>
      <c r="E41" s="20" t="s">
        <v>1056</v>
      </c>
      <c r="F41" s="20" t="s">
        <v>1057</v>
      </c>
    </row>
  </sheetData>
  <hyperlinks>
    <hyperlink ref="A1" location="contents!A1" display="Contents" xr:uid="{00000000-0004-0000-1100-000000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S38"/>
  <sheetViews>
    <sheetView topLeftCell="F1" zoomScaleNormal="100" workbookViewId="0">
      <selection activeCell="E6" sqref="E6"/>
    </sheetView>
  </sheetViews>
  <sheetFormatPr defaultColWidth="8.7109375" defaultRowHeight="15" x14ac:dyDescent="0.25"/>
  <cols>
    <col min="1" max="1" width="26.85546875" customWidth="1"/>
    <col min="2" max="2" width="17.140625" customWidth="1"/>
    <col min="3" max="3" width="25.28515625" customWidth="1"/>
    <col min="4" max="4" width="53.28515625" customWidth="1"/>
    <col min="5" max="5" width="79.28515625" customWidth="1"/>
    <col min="6" max="6" width="59.140625" customWidth="1"/>
    <col min="7" max="7" width="10.7109375" customWidth="1"/>
    <col min="8" max="8" width="16" customWidth="1"/>
    <col min="9" max="9" width="27.5703125" customWidth="1"/>
    <col min="10" max="10" width="22.85546875" customWidth="1"/>
    <col min="11" max="11" width="21.140625" customWidth="1"/>
    <col min="12" max="12" width="26.42578125" customWidth="1"/>
    <col min="13" max="13" width="23.140625" customWidth="1"/>
    <col min="14" max="14" width="22.140625" customWidth="1"/>
    <col min="15" max="16" width="27" customWidth="1"/>
    <col min="17" max="17" width="26.5703125" customWidth="1"/>
  </cols>
  <sheetData>
    <row r="1" spans="1:19" x14ac:dyDescent="0.25">
      <c r="A1" s="2" t="s">
        <v>0</v>
      </c>
    </row>
    <row r="2" spans="1:19" x14ac:dyDescent="0.25">
      <c r="A2" s="1" t="s">
        <v>31</v>
      </c>
    </row>
    <row r="3" spans="1:19" x14ac:dyDescent="0.25">
      <c r="A3" s="1" t="s">
        <v>884</v>
      </c>
      <c r="B3" s="1" t="s">
        <v>885</v>
      </c>
      <c r="C3" s="1" t="s">
        <v>886</v>
      </c>
      <c r="D3" s="1" t="s">
        <v>887</v>
      </c>
      <c r="E3" s="1" t="s">
        <v>888</v>
      </c>
      <c r="F3" s="1" t="s">
        <v>889</v>
      </c>
      <c r="G3" s="1" t="s">
        <v>1277</v>
      </c>
      <c r="H3" s="1" t="s">
        <v>1278</v>
      </c>
      <c r="I3" s="1" t="s">
        <v>2572</v>
      </c>
      <c r="J3" s="1" t="s">
        <v>893</v>
      </c>
      <c r="K3" s="1" t="s">
        <v>2573</v>
      </c>
      <c r="L3" s="1" t="s">
        <v>2574</v>
      </c>
      <c r="M3" s="1" t="s">
        <v>2575</v>
      </c>
      <c r="N3" s="1" t="s">
        <v>2576</v>
      </c>
      <c r="O3" s="1" t="s">
        <v>2577</v>
      </c>
      <c r="P3" s="1" t="s">
        <v>893</v>
      </c>
      <c r="Q3" s="1" t="s">
        <v>2578</v>
      </c>
    </row>
    <row r="4" spans="1:19" x14ac:dyDescent="0.25">
      <c r="I4" s="12" t="s">
        <v>900</v>
      </c>
      <c r="K4" s="12" t="s">
        <v>900</v>
      </c>
      <c r="L4" s="12" t="s">
        <v>900</v>
      </c>
      <c r="M4" s="12" t="s">
        <v>900</v>
      </c>
      <c r="N4" s="12" t="s">
        <v>900</v>
      </c>
      <c r="O4" s="12" t="s">
        <v>900</v>
      </c>
      <c r="P4" s="12"/>
      <c r="Q4" s="12" t="s">
        <v>900</v>
      </c>
    </row>
    <row r="5" spans="1:19" x14ac:dyDescent="0.25">
      <c r="I5" t="s">
        <v>910</v>
      </c>
      <c r="K5" t="s">
        <v>910</v>
      </c>
      <c r="L5" t="s">
        <v>910</v>
      </c>
      <c r="M5" t="s">
        <v>910</v>
      </c>
      <c r="N5" t="s">
        <v>910</v>
      </c>
      <c r="O5" t="s">
        <v>910</v>
      </c>
      <c r="Q5" t="s">
        <v>910</v>
      </c>
    </row>
    <row r="6" spans="1:19" x14ac:dyDescent="0.25">
      <c r="I6" s="24" t="s">
        <v>917</v>
      </c>
      <c r="K6" s="24" t="s">
        <v>917</v>
      </c>
      <c r="L6" s="24" t="s">
        <v>917</v>
      </c>
      <c r="M6" s="24" t="s">
        <v>917</v>
      </c>
      <c r="N6" s="24" t="s">
        <v>917</v>
      </c>
      <c r="O6" s="24" t="s">
        <v>917</v>
      </c>
      <c r="P6" s="24"/>
      <c r="Q6" s="24" t="s">
        <v>917</v>
      </c>
    </row>
    <row r="7" spans="1:19" x14ac:dyDescent="0.25">
      <c r="I7" s="12" t="s">
        <v>2359</v>
      </c>
      <c r="K7" s="12" t="s">
        <v>2359</v>
      </c>
      <c r="L7" s="12" t="s">
        <v>2359</v>
      </c>
      <c r="M7" s="12" t="s">
        <v>2359</v>
      </c>
      <c r="N7" s="12" t="s">
        <v>2359</v>
      </c>
      <c r="O7" s="12" t="s">
        <v>2359</v>
      </c>
      <c r="P7" s="12"/>
      <c r="Q7" s="12" t="s">
        <v>2359</v>
      </c>
    </row>
    <row r="8" spans="1:19" x14ac:dyDescent="0.25">
      <c r="I8" s="12" t="s">
        <v>2363</v>
      </c>
      <c r="K8" s="12" t="s">
        <v>2363</v>
      </c>
      <c r="L8" s="12" t="s">
        <v>2363</v>
      </c>
      <c r="M8" s="12" t="s">
        <v>2363</v>
      </c>
      <c r="N8" s="12" t="s">
        <v>2363</v>
      </c>
      <c r="O8" s="12" t="s">
        <v>2363</v>
      </c>
      <c r="P8" s="12"/>
      <c r="Q8" s="12" t="s">
        <v>2363</v>
      </c>
    </row>
    <row r="9" spans="1:19" x14ac:dyDescent="0.25">
      <c r="I9" s="12" t="s">
        <v>2364</v>
      </c>
      <c r="K9" s="12" t="s">
        <v>2364</v>
      </c>
      <c r="L9" s="12" t="s">
        <v>2364</v>
      </c>
      <c r="M9" s="12" t="s">
        <v>2364</v>
      </c>
      <c r="N9" s="12" t="s">
        <v>2364</v>
      </c>
      <c r="O9" s="12" t="s">
        <v>2364</v>
      </c>
      <c r="P9" s="12"/>
      <c r="Q9" s="12" t="s">
        <v>2364</v>
      </c>
    </row>
    <row r="10" spans="1:19" x14ac:dyDescent="0.25">
      <c r="I10" s="12" t="s">
        <v>1076</v>
      </c>
      <c r="K10" s="12" t="s">
        <v>1076</v>
      </c>
      <c r="L10" s="12" t="s">
        <v>1076</v>
      </c>
      <c r="M10" s="12" t="s">
        <v>1076</v>
      </c>
      <c r="N10" s="12" t="s">
        <v>1076</v>
      </c>
      <c r="O10" s="12" t="s">
        <v>1076</v>
      </c>
      <c r="P10" s="12"/>
      <c r="Q10" s="12" t="s">
        <v>1076</v>
      </c>
    </row>
    <row r="11" spans="1:19" x14ac:dyDescent="0.25">
      <c r="B11" s="20">
        <v>0</v>
      </c>
      <c r="C11" s="20" t="s">
        <v>2579</v>
      </c>
      <c r="D11" s="20" t="s">
        <v>2580</v>
      </c>
      <c r="E11" s="20" t="s">
        <v>2581</v>
      </c>
      <c r="F11" s="20" t="s">
        <v>2580</v>
      </c>
    </row>
    <row r="12" spans="1:19" x14ac:dyDescent="0.25">
      <c r="A12" s="21" t="s">
        <v>2582</v>
      </c>
      <c r="B12" s="21">
        <v>1</v>
      </c>
      <c r="C12" s="21" t="s">
        <v>2582</v>
      </c>
      <c r="D12" s="21"/>
      <c r="E12" s="21" t="s">
        <v>2583</v>
      </c>
      <c r="F12" s="21" t="s">
        <v>2584</v>
      </c>
      <c r="I12" t="s">
        <v>2582</v>
      </c>
      <c r="M12" t="s">
        <v>2585</v>
      </c>
    </row>
    <row r="13" spans="1:19" x14ac:dyDescent="0.25">
      <c r="A13" s="43" t="s">
        <v>2424</v>
      </c>
      <c r="B13" s="43">
        <v>2</v>
      </c>
      <c r="C13" s="43" t="s">
        <v>2586</v>
      </c>
      <c r="D13" s="43"/>
      <c r="E13" s="43" t="s">
        <v>2587</v>
      </c>
      <c r="F13" s="43" t="s">
        <v>2588</v>
      </c>
      <c r="I13" t="s">
        <v>2424</v>
      </c>
      <c r="M13" t="s">
        <v>2589</v>
      </c>
    </row>
    <row r="14" spans="1:19" x14ac:dyDescent="0.25">
      <c r="B14" s="20">
        <v>3</v>
      </c>
      <c r="C14" s="20" t="s">
        <v>2590</v>
      </c>
      <c r="D14" s="20" t="s">
        <v>2591</v>
      </c>
      <c r="E14" s="20" t="s">
        <v>2592</v>
      </c>
      <c r="F14" s="20" t="s">
        <v>2593</v>
      </c>
    </row>
    <row r="15" spans="1:19" x14ac:dyDescent="0.25">
      <c r="B15" s="20">
        <v>4</v>
      </c>
      <c r="C15" s="20" t="s">
        <v>1055</v>
      </c>
      <c r="D15" s="20" t="s">
        <v>1057</v>
      </c>
      <c r="E15" s="20" t="s">
        <v>1056</v>
      </c>
      <c r="F15" s="20" t="s">
        <v>1057</v>
      </c>
    </row>
    <row r="16" spans="1:19" x14ac:dyDescent="0.25">
      <c r="A16" s="36" t="s">
        <v>2424</v>
      </c>
      <c r="B16" s="36">
        <v>5</v>
      </c>
      <c r="C16" s="36" t="s">
        <v>2424</v>
      </c>
      <c r="D16" s="36"/>
      <c r="E16" s="36" t="s">
        <v>2594</v>
      </c>
      <c r="F16" s="36" t="s">
        <v>2595</v>
      </c>
      <c r="K16" t="s">
        <v>2424</v>
      </c>
      <c r="N16" t="s">
        <v>2424</v>
      </c>
      <c r="O16" t="s">
        <v>2424</v>
      </c>
      <c r="Q16" t="s">
        <v>2424</v>
      </c>
      <c r="S16" s="36" t="s">
        <v>2596</v>
      </c>
    </row>
    <row r="17" spans="1:19" x14ac:dyDescent="0.25">
      <c r="A17" s="36"/>
      <c r="B17" s="36"/>
      <c r="C17" s="36"/>
      <c r="D17" s="36"/>
      <c r="E17" s="36"/>
      <c r="F17" s="36" t="s">
        <v>2597</v>
      </c>
      <c r="S17" s="36"/>
    </row>
    <row r="18" spans="1:19" x14ac:dyDescent="0.25">
      <c r="A18" s="43" t="s">
        <v>2429</v>
      </c>
      <c r="F18" s="43" t="s">
        <v>2598</v>
      </c>
      <c r="K18" t="s">
        <v>2429</v>
      </c>
      <c r="N18" t="s">
        <v>2429</v>
      </c>
      <c r="O18" s="24" t="s">
        <v>2599</v>
      </c>
      <c r="P18" s="24" t="s">
        <v>2600</v>
      </c>
      <c r="Q18" t="s">
        <v>2599</v>
      </c>
    </row>
    <row r="19" spans="1:19" x14ac:dyDescent="0.25">
      <c r="D19" s="12" t="s">
        <v>2601</v>
      </c>
      <c r="O19" t="s">
        <v>2429</v>
      </c>
      <c r="Q19" t="s">
        <v>2429</v>
      </c>
    </row>
    <row r="20" spans="1:19" x14ac:dyDescent="0.25">
      <c r="A20" s="25" t="s">
        <v>2602</v>
      </c>
      <c r="B20" s="25">
        <v>6</v>
      </c>
      <c r="C20" s="25" t="s">
        <v>2602</v>
      </c>
      <c r="D20" s="25"/>
      <c r="E20" s="25" t="s">
        <v>2603</v>
      </c>
      <c r="F20" s="25" t="s">
        <v>2604</v>
      </c>
      <c r="L20" t="s">
        <v>2602</v>
      </c>
    </row>
    <row r="21" spans="1:19" x14ac:dyDescent="0.25">
      <c r="A21" s="43" t="s">
        <v>2605</v>
      </c>
      <c r="F21" s="43" t="s">
        <v>2606</v>
      </c>
      <c r="L21" t="s">
        <v>2605</v>
      </c>
    </row>
    <row r="22" spans="1:19" x14ac:dyDescent="0.25">
      <c r="D22" s="12" t="s">
        <v>2607</v>
      </c>
    </row>
    <row r="23" spans="1:19" x14ac:dyDescent="0.25">
      <c r="B23" s="20">
        <v>7</v>
      </c>
      <c r="C23" s="20" t="s">
        <v>2608</v>
      </c>
      <c r="D23" s="20"/>
      <c r="E23" s="20" t="s">
        <v>2609</v>
      </c>
      <c r="F23" s="20" t="s">
        <v>2610</v>
      </c>
    </row>
    <row r="25" spans="1:19" x14ac:dyDescent="0.25">
      <c r="B25" s="20">
        <v>8</v>
      </c>
      <c r="C25" s="20" t="s">
        <v>2611</v>
      </c>
      <c r="D25" s="20" t="s">
        <v>2612</v>
      </c>
      <c r="E25" s="20" t="s">
        <v>2613</v>
      </c>
      <c r="F25" s="20" t="s">
        <v>2612</v>
      </c>
    </row>
    <row r="26" spans="1:19" x14ac:dyDescent="0.25">
      <c r="B26" s="20"/>
      <c r="C26" s="20"/>
      <c r="D26" s="20"/>
      <c r="E26" s="20"/>
      <c r="F26" s="20" t="s">
        <v>2614</v>
      </c>
    </row>
    <row r="28" spans="1:19" x14ac:dyDescent="0.25">
      <c r="A28" s="59" t="s">
        <v>2615</v>
      </c>
      <c r="B28" s="59">
        <v>9</v>
      </c>
      <c r="C28" s="59" t="s">
        <v>2616</v>
      </c>
      <c r="D28" s="59"/>
      <c r="E28" s="59" t="s">
        <v>2617</v>
      </c>
      <c r="F28" s="59" t="s">
        <v>2618</v>
      </c>
    </row>
    <row r="29" spans="1:19" x14ac:dyDescent="0.25">
      <c r="A29" s="59" t="s">
        <v>2619</v>
      </c>
      <c r="F29" s="59" t="s">
        <v>2620</v>
      </c>
    </row>
    <row r="30" spans="1:19" x14ac:dyDescent="0.25">
      <c r="A30" s="45" t="s">
        <v>2621</v>
      </c>
      <c r="B30" s="45">
        <v>10</v>
      </c>
      <c r="C30" s="45" t="s">
        <v>2599</v>
      </c>
      <c r="D30" s="45"/>
      <c r="E30" s="45" t="s">
        <v>2622</v>
      </c>
      <c r="F30" s="45" t="s">
        <v>2623</v>
      </c>
    </row>
    <row r="31" spans="1:19" x14ac:dyDescent="0.25">
      <c r="F31" s="45" t="s">
        <v>2624</v>
      </c>
    </row>
    <row r="33" spans="2:6" x14ac:dyDescent="0.25">
      <c r="B33" s="20">
        <v>11</v>
      </c>
      <c r="C33" s="20" t="s">
        <v>2625</v>
      </c>
      <c r="D33" s="20" t="s">
        <v>2626</v>
      </c>
      <c r="E33" s="20" t="s">
        <v>2627</v>
      </c>
      <c r="F33" s="20" t="s">
        <v>2628</v>
      </c>
    </row>
    <row r="34" spans="2:6" x14ac:dyDescent="0.25">
      <c r="F34" s="20" t="s">
        <v>2623</v>
      </c>
    </row>
    <row r="35" spans="2:6" x14ac:dyDescent="0.25">
      <c r="F35" s="20" t="s">
        <v>2629</v>
      </c>
    </row>
    <row r="36" spans="2:6" x14ac:dyDescent="0.25">
      <c r="F36" s="20" t="s">
        <v>2610</v>
      </c>
    </row>
    <row r="37" spans="2:6" x14ac:dyDescent="0.25">
      <c r="F37" s="20" t="s">
        <v>2630</v>
      </c>
    </row>
    <row r="38" spans="2:6" x14ac:dyDescent="0.25">
      <c r="F38" s="20" t="s">
        <v>2631</v>
      </c>
    </row>
  </sheetData>
  <hyperlinks>
    <hyperlink ref="A1" location="contents!A1" display="Contents" xr:uid="{00000000-0004-0000-1200-000000000000}"/>
  </hyperlink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C0BD8-D112-4333-A5FB-2556F7164B6A}">
  <dimension ref="A1:I31"/>
  <sheetViews>
    <sheetView topLeftCell="B1" workbookViewId="0">
      <selection activeCell="E21" sqref="E21"/>
    </sheetView>
  </sheetViews>
  <sheetFormatPr defaultRowHeight="15" x14ac:dyDescent="0.25"/>
  <cols>
    <col min="1" max="1" width="24" customWidth="1"/>
    <col min="2" max="2" width="17.28515625" customWidth="1"/>
    <col min="3" max="3" width="24.85546875" customWidth="1"/>
    <col min="4" max="4" width="19.140625" customWidth="1"/>
    <col min="5" max="5" width="74.140625" customWidth="1"/>
    <col min="6" max="6" width="77.7109375" customWidth="1"/>
    <col min="7" max="7" width="84.28515625" customWidth="1"/>
    <col min="9" max="9" width="17.28515625" customWidth="1"/>
  </cols>
  <sheetData>
    <row r="1" spans="1:9" x14ac:dyDescent="0.25">
      <c r="A1" s="2" t="s">
        <v>0</v>
      </c>
    </row>
    <row r="2" spans="1:9" x14ac:dyDescent="0.25">
      <c r="A2" s="1" t="s">
        <v>45</v>
      </c>
    </row>
    <row r="3" spans="1:9" x14ac:dyDescent="0.25">
      <c r="A3" s="1" t="s">
        <v>1295</v>
      </c>
      <c r="B3" s="1" t="s">
        <v>885</v>
      </c>
      <c r="C3" s="1" t="s">
        <v>886</v>
      </c>
      <c r="D3" s="1" t="s">
        <v>887</v>
      </c>
      <c r="E3" s="1" t="s">
        <v>888</v>
      </c>
      <c r="F3" s="1" t="s">
        <v>889</v>
      </c>
      <c r="G3" s="1" t="s">
        <v>1299</v>
      </c>
      <c r="H3" s="1" t="s">
        <v>1277</v>
      </c>
      <c r="I3" s="1" t="s">
        <v>1278</v>
      </c>
    </row>
    <row r="4" spans="1:9" x14ac:dyDescent="0.25">
      <c r="A4" s="1"/>
      <c r="B4" s="1"/>
      <c r="C4" s="1"/>
      <c r="D4" s="1"/>
      <c r="E4" s="1"/>
      <c r="F4" s="1"/>
      <c r="G4" s="1"/>
    </row>
    <row r="5" spans="1:9" x14ac:dyDescent="0.25">
      <c r="B5" s="103">
        <v>0</v>
      </c>
      <c r="C5" s="103" t="s">
        <v>4861</v>
      </c>
      <c r="D5" s="103"/>
      <c r="E5" s="103" t="s">
        <v>4862</v>
      </c>
      <c r="F5" s="103" t="s">
        <v>4863</v>
      </c>
      <c r="G5" s="103" t="s">
        <v>4866</v>
      </c>
    </row>
    <row r="6" spans="1:9" x14ac:dyDescent="0.25">
      <c r="F6" s="103" t="s">
        <v>4864</v>
      </c>
      <c r="G6" s="103" t="s">
        <v>4867</v>
      </c>
    </row>
    <row r="7" spans="1:9" x14ac:dyDescent="0.25">
      <c r="F7" s="103" t="s">
        <v>4865</v>
      </c>
      <c r="G7" s="103" t="s">
        <v>4868</v>
      </c>
    </row>
    <row r="8" spans="1:9" x14ac:dyDescent="0.25">
      <c r="F8" s="103" t="s">
        <v>4878</v>
      </c>
      <c r="G8" s="103" t="s">
        <v>4879</v>
      </c>
    </row>
    <row r="9" spans="1:9" x14ac:dyDescent="0.25">
      <c r="F9" s="103" t="s">
        <v>4876</v>
      </c>
      <c r="G9" s="103" t="s">
        <v>4880</v>
      </c>
    </row>
    <row r="10" spans="1:9" x14ac:dyDescent="0.25">
      <c r="F10" s="103" t="s">
        <v>4877</v>
      </c>
      <c r="G10" s="103" t="s">
        <v>4881</v>
      </c>
    </row>
    <row r="12" spans="1:9" x14ac:dyDescent="0.25">
      <c r="B12" s="104">
        <v>1</v>
      </c>
      <c r="C12" s="104" t="s">
        <v>4869</v>
      </c>
      <c r="D12" s="104"/>
      <c r="E12" s="104" t="s">
        <v>4920</v>
      </c>
      <c r="F12" s="104" t="s">
        <v>4872</v>
      </c>
      <c r="G12" s="104" t="s">
        <v>4873</v>
      </c>
    </row>
    <row r="13" spans="1:9" x14ac:dyDescent="0.25">
      <c r="F13" s="104" t="s">
        <v>4870</v>
      </c>
      <c r="G13" s="104" t="s">
        <v>4874</v>
      </c>
    </row>
    <row r="14" spans="1:9" x14ac:dyDescent="0.25">
      <c r="F14" s="104" t="s">
        <v>4871</v>
      </c>
      <c r="G14" s="104" t="s">
        <v>4875</v>
      </c>
    </row>
    <row r="16" spans="1:9" x14ac:dyDescent="0.25">
      <c r="B16" s="105">
        <v>2</v>
      </c>
      <c r="C16" s="105" t="s">
        <v>4882</v>
      </c>
      <c r="D16" s="105"/>
      <c r="E16" s="105" t="s">
        <v>4883</v>
      </c>
      <c r="F16" s="105" t="s">
        <v>4886</v>
      </c>
      <c r="G16" s="105" t="s">
        <v>4889</v>
      </c>
    </row>
    <row r="17" spans="2:7" x14ac:dyDescent="0.25">
      <c r="F17" s="105" t="s">
        <v>4884</v>
      </c>
      <c r="G17" s="105" t="s">
        <v>4890</v>
      </c>
    </row>
    <row r="18" spans="2:7" x14ac:dyDescent="0.25">
      <c r="F18" s="105" t="s">
        <v>4888</v>
      </c>
      <c r="G18" s="105" t="s">
        <v>4891</v>
      </c>
    </row>
    <row r="19" spans="2:7" x14ac:dyDescent="0.25">
      <c r="F19" s="105" t="s">
        <v>4887</v>
      </c>
      <c r="G19" s="105" t="s">
        <v>4892</v>
      </c>
    </row>
    <row r="20" spans="2:7" x14ac:dyDescent="0.25">
      <c r="F20" s="105" t="s">
        <v>4885</v>
      </c>
      <c r="G20" s="105" t="s">
        <v>4893</v>
      </c>
    </row>
    <row r="22" spans="2:7" x14ac:dyDescent="0.25">
      <c r="B22" s="106">
        <v>3</v>
      </c>
      <c r="C22" s="106" t="s">
        <v>4895</v>
      </c>
      <c r="D22" s="106"/>
      <c r="E22" s="106" t="s">
        <v>4894</v>
      </c>
      <c r="F22" s="106" t="s">
        <v>4896</v>
      </c>
      <c r="G22" s="106" t="s">
        <v>4898</v>
      </c>
    </row>
    <row r="23" spans="2:7" x14ac:dyDescent="0.25">
      <c r="F23" s="106" t="s">
        <v>4897</v>
      </c>
      <c r="G23" s="106" t="s">
        <v>4899</v>
      </c>
    </row>
    <row r="25" spans="2:7" x14ac:dyDescent="0.25">
      <c r="B25" s="107">
        <v>4</v>
      </c>
      <c r="C25" s="107" t="s">
        <v>4900</v>
      </c>
      <c r="D25" s="107"/>
      <c r="E25" s="107" t="s">
        <v>4901</v>
      </c>
      <c r="F25" s="107" t="s">
        <v>4902</v>
      </c>
      <c r="G25" s="107" t="s">
        <v>4904</v>
      </c>
    </row>
    <row r="26" spans="2:7" x14ac:dyDescent="0.25">
      <c r="F26" s="107" t="s">
        <v>4903</v>
      </c>
      <c r="G26" s="107" t="s">
        <v>4905</v>
      </c>
    </row>
    <row r="28" spans="2:7" x14ac:dyDescent="0.25">
      <c r="B28" s="108">
        <v>5</v>
      </c>
      <c r="C28" s="108" t="s">
        <v>4906</v>
      </c>
      <c r="D28" s="108"/>
      <c r="E28" s="108" t="s">
        <v>4907</v>
      </c>
      <c r="F28" s="108" t="s">
        <v>4908</v>
      </c>
      <c r="G28" s="108" t="s">
        <v>4912</v>
      </c>
    </row>
    <row r="29" spans="2:7" x14ac:dyDescent="0.25">
      <c r="F29" s="108" t="s">
        <v>4909</v>
      </c>
      <c r="G29" s="108" t="s">
        <v>4913</v>
      </c>
    </row>
    <row r="30" spans="2:7" x14ac:dyDescent="0.25">
      <c r="F30" s="108" t="s">
        <v>4910</v>
      </c>
      <c r="G30" s="108" t="s">
        <v>4914</v>
      </c>
    </row>
    <row r="31" spans="2:7" x14ac:dyDescent="0.25">
      <c r="F31" s="108" t="s">
        <v>4911</v>
      </c>
      <c r="G31" s="108" t="s">
        <v>4915</v>
      </c>
    </row>
  </sheetData>
  <hyperlinks>
    <hyperlink ref="A1" location="contents!A1" display="Contents" xr:uid="{A9882310-17B4-4197-8F91-77E6B4ED7849}"/>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53"/>
  <sheetViews>
    <sheetView topLeftCell="A19" zoomScaleNormal="100" workbookViewId="0">
      <selection activeCell="F29" sqref="F29"/>
    </sheetView>
  </sheetViews>
  <sheetFormatPr defaultColWidth="8.7109375" defaultRowHeight="15" x14ac:dyDescent="0.25"/>
  <cols>
    <col min="1" max="1" width="37" customWidth="1"/>
    <col min="2" max="2" width="40.28515625" customWidth="1"/>
    <col min="3" max="3" width="27.5703125" customWidth="1"/>
    <col min="4" max="4" width="22.7109375" customWidth="1"/>
    <col min="5" max="5" width="17" customWidth="1"/>
    <col min="6" max="6" width="26.28515625" customWidth="1"/>
    <col min="7" max="7" width="25.5703125" customWidth="1"/>
    <col min="8" max="8" width="73.7109375" customWidth="1"/>
    <col min="9" max="9" width="54.140625" customWidth="1"/>
    <col min="10" max="10" width="31" customWidth="1"/>
  </cols>
  <sheetData>
    <row r="1" spans="1:12" x14ac:dyDescent="0.25">
      <c r="A1" s="2" t="s">
        <v>0</v>
      </c>
    </row>
    <row r="2" spans="1:12" x14ac:dyDescent="0.25">
      <c r="A2" s="1" t="s">
        <v>45</v>
      </c>
    </row>
    <row r="3" spans="1:12" x14ac:dyDescent="0.25">
      <c r="A3" s="1" t="s">
        <v>1295</v>
      </c>
      <c r="B3" s="1" t="s">
        <v>1296</v>
      </c>
      <c r="C3" s="1" t="s">
        <v>1297</v>
      </c>
      <c r="D3" s="1" t="s">
        <v>1298</v>
      </c>
      <c r="E3" s="1" t="s">
        <v>885</v>
      </c>
      <c r="F3" s="1" t="s">
        <v>886</v>
      </c>
      <c r="G3" s="1" t="s">
        <v>887</v>
      </c>
      <c r="H3" s="1" t="s">
        <v>888</v>
      </c>
      <c r="I3" s="1" t="s">
        <v>889</v>
      </c>
      <c r="J3" s="1" t="s">
        <v>1299</v>
      </c>
      <c r="K3" s="1" t="s">
        <v>1277</v>
      </c>
      <c r="L3" s="1" t="s">
        <v>1278</v>
      </c>
    </row>
    <row r="4" spans="1:12" x14ac:dyDescent="0.25">
      <c r="A4" s="1"/>
      <c r="B4" s="1"/>
      <c r="C4" s="1"/>
      <c r="D4" s="1"/>
      <c r="E4" s="1"/>
      <c r="F4" s="1"/>
      <c r="G4" s="1"/>
      <c r="H4" s="1"/>
      <c r="I4" s="1"/>
      <c r="J4" s="1"/>
    </row>
    <row r="5" spans="1:12" x14ac:dyDescent="0.25">
      <c r="A5" s="1"/>
      <c r="B5" s="21" t="s">
        <v>2632</v>
      </c>
      <c r="C5" s="21" t="s">
        <v>2633</v>
      </c>
      <c r="D5" s="21" t="s">
        <v>1767</v>
      </c>
      <c r="E5" s="21">
        <v>0</v>
      </c>
      <c r="F5" s="21" t="s">
        <v>2634</v>
      </c>
      <c r="G5" s="68"/>
      <c r="H5" s="21" t="s">
        <v>2635</v>
      </c>
      <c r="I5" s="21" t="s">
        <v>2636</v>
      </c>
      <c r="J5" s="21" t="s">
        <v>2637</v>
      </c>
    </row>
    <row r="6" spans="1:12" x14ac:dyDescent="0.25">
      <c r="A6" s="1"/>
      <c r="C6" s="1"/>
      <c r="D6" s="1"/>
      <c r="G6" s="1"/>
      <c r="H6" s="1"/>
      <c r="I6" s="1"/>
      <c r="J6" s="1"/>
    </row>
    <row r="7" spans="1:12" x14ac:dyDescent="0.25">
      <c r="B7" s="44" t="s">
        <v>2638</v>
      </c>
      <c r="C7" s="44" t="s">
        <v>2639</v>
      </c>
      <c r="D7" s="44" t="s">
        <v>1767</v>
      </c>
      <c r="E7" s="44">
        <v>1</v>
      </c>
      <c r="F7" s="44" t="s">
        <v>2640</v>
      </c>
      <c r="G7" s="44"/>
      <c r="H7" s="44" t="s">
        <v>2641</v>
      </c>
      <c r="I7" s="44" t="s">
        <v>2642</v>
      </c>
      <c r="J7" s="44" t="s">
        <v>2643</v>
      </c>
    </row>
    <row r="8" spans="1:12" x14ac:dyDescent="0.25">
      <c r="I8" s="44" t="s">
        <v>2636</v>
      </c>
      <c r="J8" s="44" t="s">
        <v>2644</v>
      </c>
    </row>
    <row r="10" spans="1:12" x14ac:dyDescent="0.25">
      <c r="B10" s="35" t="s">
        <v>2638</v>
      </c>
      <c r="C10" s="35" t="s">
        <v>2639</v>
      </c>
      <c r="D10" s="35" t="s">
        <v>1767</v>
      </c>
      <c r="E10" s="35">
        <v>2</v>
      </c>
      <c r="F10" s="35" t="s">
        <v>2645</v>
      </c>
      <c r="G10" s="35"/>
      <c r="H10" s="35" t="s">
        <v>2646</v>
      </c>
      <c r="I10" s="35" t="s">
        <v>2642</v>
      </c>
      <c r="J10" s="35" t="s">
        <v>348</v>
      </c>
    </row>
    <row r="11" spans="1:12" x14ac:dyDescent="0.25">
      <c r="I11" s="35" t="s">
        <v>2636</v>
      </c>
      <c r="J11" s="35" t="s">
        <v>355</v>
      </c>
    </row>
    <row r="13" spans="1:12" x14ac:dyDescent="0.25">
      <c r="A13" t="s">
        <v>2647</v>
      </c>
      <c r="B13" s="49" t="s">
        <v>2648</v>
      </c>
      <c r="C13" s="49" t="s">
        <v>2649</v>
      </c>
      <c r="D13" s="49"/>
      <c r="E13" s="49">
        <v>3</v>
      </c>
      <c r="F13" s="49" t="s">
        <v>2650</v>
      </c>
      <c r="G13" s="49"/>
      <c r="H13" s="49" t="s">
        <v>2651</v>
      </c>
      <c r="I13" s="49" t="s">
        <v>2652</v>
      </c>
      <c r="J13" s="49">
        <v>4</v>
      </c>
    </row>
    <row r="14" spans="1:12" x14ac:dyDescent="0.25">
      <c r="B14" s="49" t="s">
        <v>2653</v>
      </c>
      <c r="C14" s="49" t="s">
        <v>2654</v>
      </c>
      <c r="I14" s="49" t="s">
        <v>2655</v>
      </c>
      <c r="J14" s="49">
        <v>2</v>
      </c>
    </row>
    <row r="15" spans="1:12" x14ac:dyDescent="0.25">
      <c r="I15" s="49" t="s">
        <v>2656</v>
      </c>
      <c r="J15" s="49">
        <v>4</v>
      </c>
    </row>
    <row r="16" spans="1:12" x14ac:dyDescent="0.25">
      <c r="I16" s="49" t="s">
        <v>2657</v>
      </c>
      <c r="J16" s="49">
        <v>2</v>
      </c>
    </row>
    <row r="18" spans="1:10" x14ac:dyDescent="0.25">
      <c r="A18" t="s">
        <v>2658</v>
      </c>
      <c r="B18" s="69" t="s">
        <v>2653</v>
      </c>
      <c r="C18" s="69" t="s">
        <v>2654</v>
      </c>
      <c r="D18" s="69"/>
      <c r="E18" s="69">
        <v>4</v>
      </c>
      <c r="F18" s="69" t="s">
        <v>2659</v>
      </c>
      <c r="G18" s="69"/>
      <c r="H18" s="69" t="s">
        <v>2660</v>
      </c>
      <c r="I18" s="69" t="s">
        <v>2661</v>
      </c>
    </row>
    <row r="19" spans="1:10" x14ac:dyDescent="0.25">
      <c r="I19" s="69" t="s">
        <v>2662</v>
      </c>
    </row>
    <row r="20" spans="1:10" x14ac:dyDescent="0.25">
      <c r="I20" s="69" t="s">
        <v>2663</v>
      </c>
    </row>
    <row r="22" spans="1:10" x14ac:dyDescent="0.25">
      <c r="B22" s="48" t="s">
        <v>2664</v>
      </c>
      <c r="C22" s="48" t="s">
        <v>2665</v>
      </c>
      <c r="D22" s="48"/>
      <c r="E22" s="48">
        <v>5</v>
      </c>
      <c r="F22" s="48" t="s">
        <v>2666</v>
      </c>
      <c r="G22" s="48"/>
      <c r="H22" s="48" t="s">
        <v>2667</v>
      </c>
      <c r="I22" s="48" t="s">
        <v>1842</v>
      </c>
    </row>
    <row r="23" spans="1:10" x14ac:dyDescent="0.25">
      <c r="I23" s="48" t="s">
        <v>2668</v>
      </c>
    </row>
    <row r="25" spans="1:10" x14ac:dyDescent="0.25">
      <c r="B25" s="51" t="s">
        <v>2669</v>
      </c>
      <c r="C25" s="51" t="s">
        <v>2670</v>
      </c>
      <c r="D25" s="51"/>
      <c r="E25" s="51">
        <v>6</v>
      </c>
      <c r="F25" s="51" t="s">
        <v>1748</v>
      </c>
      <c r="G25" s="51"/>
      <c r="H25" s="51" t="s">
        <v>2671</v>
      </c>
      <c r="I25" s="70" t="s">
        <v>2672</v>
      </c>
      <c r="J25" s="51" t="s">
        <v>2673</v>
      </c>
    </row>
    <row r="27" spans="1:10" x14ac:dyDescent="0.25">
      <c r="B27" s="36" t="s">
        <v>2669</v>
      </c>
      <c r="C27" s="36" t="s">
        <v>2674</v>
      </c>
      <c r="D27" s="36"/>
      <c r="E27" s="36">
        <v>7</v>
      </c>
      <c r="F27" s="36" t="s">
        <v>2675</v>
      </c>
      <c r="G27" s="36"/>
      <c r="H27" s="36" t="s">
        <v>2676</v>
      </c>
      <c r="I27" s="36" t="s">
        <v>2677</v>
      </c>
      <c r="J27" s="36" t="s">
        <v>2678</v>
      </c>
    </row>
    <row r="29" spans="1:10" x14ac:dyDescent="0.25">
      <c r="A29" t="s">
        <v>2679</v>
      </c>
      <c r="B29" s="42" t="s">
        <v>2680</v>
      </c>
      <c r="C29" s="42" t="s">
        <v>2681</v>
      </c>
      <c r="D29" s="42"/>
      <c r="E29" s="42">
        <v>8</v>
      </c>
      <c r="F29" s="42" t="s">
        <v>2682</v>
      </c>
      <c r="G29" s="42"/>
      <c r="H29" s="42" t="s">
        <v>2683</v>
      </c>
      <c r="I29" s="42"/>
      <c r="J29" s="42"/>
    </row>
    <row r="31" spans="1:10" x14ac:dyDescent="0.25">
      <c r="B31" t="s">
        <v>2684</v>
      </c>
      <c r="C31" t="s">
        <v>2685</v>
      </c>
      <c r="E31">
        <v>9</v>
      </c>
      <c r="F31" t="s">
        <v>2686</v>
      </c>
      <c r="H31" t="s">
        <v>2687</v>
      </c>
      <c r="I31" t="s">
        <v>2688</v>
      </c>
      <c r="J31" t="s">
        <v>2689</v>
      </c>
    </row>
    <row r="32" spans="1:10" x14ac:dyDescent="0.25">
      <c r="I32" t="s">
        <v>2690</v>
      </c>
      <c r="J32" t="s">
        <v>2691</v>
      </c>
    </row>
    <row r="33" spans="2:14" x14ac:dyDescent="0.25">
      <c r="I33" t="s">
        <v>2692</v>
      </c>
      <c r="J33" t="s">
        <v>2691</v>
      </c>
    </row>
    <row r="35" spans="2:14" x14ac:dyDescent="0.25">
      <c r="B35" s="37" t="s">
        <v>2693</v>
      </c>
      <c r="C35" s="37"/>
      <c r="D35" s="37"/>
      <c r="E35" s="37">
        <v>10</v>
      </c>
      <c r="F35" s="37" t="s">
        <v>2694</v>
      </c>
      <c r="G35" s="37"/>
      <c r="H35" s="37" t="s">
        <v>2695</v>
      </c>
      <c r="I35" s="37" t="s">
        <v>2696</v>
      </c>
      <c r="J35" s="37" t="s">
        <v>2697</v>
      </c>
    </row>
    <row r="36" spans="2:14" x14ac:dyDescent="0.25">
      <c r="I36" s="37" t="s">
        <v>2698</v>
      </c>
      <c r="J36" s="37" t="s">
        <v>2699</v>
      </c>
    </row>
    <row r="37" spans="2:14" x14ac:dyDescent="0.25">
      <c r="I37" s="37" t="s">
        <v>2697</v>
      </c>
      <c r="J37" s="37" t="s">
        <v>2697</v>
      </c>
    </row>
    <row r="38" spans="2:14" x14ac:dyDescent="0.25">
      <c r="I38" s="37" t="s">
        <v>2700</v>
      </c>
      <c r="J38" s="37" t="s">
        <v>2701</v>
      </c>
    </row>
    <row r="39" spans="2:14" x14ac:dyDescent="0.25">
      <c r="I39" s="37" t="s">
        <v>2702</v>
      </c>
      <c r="J39" s="37" t="s">
        <v>2703</v>
      </c>
    </row>
    <row r="42" spans="2:14" x14ac:dyDescent="0.25">
      <c r="E42" s="83">
        <v>11</v>
      </c>
      <c r="F42" s="83" t="s">
        <v>4394</v>
      </c>
      <c r="G42" s="83"/>
      <c r="H42" s="83" t="s">
        <v>5138</v>
      </c>
      <c r="I42" s="84" t="s">
        <v>4395</v>
      </c>
      <c r="J42" s="84" t="s">
        <v>4397</v>
      </c>
      <c r="N42" s="83" t="s">
        <v>4491</v>
      </c>
    </row>
    <row r="43" spans="2:14" x14ac:dyDescent="0.25">
      <c r="I43" s="84" t="s">
        <v>4396</v>
      </c>
      <c r="J43" s="84" t="s">
        <v>4398</v>
      </c>
    </row>
    <row r="44" spans="2:14" x14ac:dyDescent="0.25">
      <c r="I44" s="84" t="s">
        <v>4405</v>
      </c>
      <c r="J44" s="84" t="s">
        <v>4406</v>
      </c>
    </row>
    <row r="45" spans="2:14" x14ac:dyDescent="0.25">
      <c r="I45" s="84" t="s">
        <v>4407</v>
      </c>
      <c r="J45" s="84" t="s">
        <v>4408</v>
      </c>
    </row>
    <row r="46" spans="2:14" x14ac:dyDescent="0.25">
      <c r="I46" s="84" t="s">
        <v>4436</v>
      </c>
      <c r="J46" s="84" t="s">
        <v>4437</v>
      </c>
    </row>
    <row r="47" spans="2:14" x14ac:dyDescent="0.25">
      <c r="I47" s="84" t="s">
        <v>4444</v>
      </c>
      <c r="J47" s="84" t="s">
        <v>4445</v>
      </c>
    </row>
    <row r="48" spans="2:14" x14ac:dyDescent="0.25">
      <c r="I48" s="84" t="s">
        <v>4492</v>
      </c>
      <c r="J48" s="84" t="s">
        <v>4493</v>
      </c>
    </row>
    <row r="49" spans="5:10" x14ac:dyDescent="0.25">
      <c r="I49" s="84" t="s">
        <v>5139</v>
      </c>
      <c r="J49" s="84" t="s">
        <v>5140</v>
      </c>
    </row>
    <row r="51" spans="5:10" x14ac:dyDescent="0.25">
      <c r="E51" s="21">
        <v>13</v>
      </c>
      <c r="F51" s="21" t="s">
        <v>4504</v>
      </c>
      <c r="G51" s="21"/>
      <c r="H51" s="21" t="s">
        <v>4505</v>
      </c>
      <c r="I51" s="21" t="s">
        <v>2642</v>
      </c>
      <c r="J51" s="21" t="s">
        <v>4506</v>
      </c>
    </row>
    <row r="53" spans="5:10" x14ac:dyDescent="0.25">
      <c r="E53">
        <v>14</v>
      </c>
      <c r="F53" t="s">
        <v>4534</v>
      </c>
      <c r="H53" s="91" t="s">
        <v>4535</v>
      </c>
      <c r="I53" s="92" t="s">
        <v>4536</v>
      </c>
      <c r="J53" s="92" t="s">
        <v>4536</v>
      </c>
    </row>
  </sheetData>
  <hyperlinks>
    <hyperlink ref="A1" location="contents!A1" display="Contents" xr:uid="{00000000-0004-0000-1300-000000000000}"/>
  </hyperlinks>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64"/>
  <sheetViews>
    <sheetView zoomScaleNormal="100" workbookViewId="0">
      <selection activeCell="D54" sqref="D54"/>
    </sheetView>
  </sheetViews>
  <sheetFormatPr defaultColWidth="8.7109375" defaultRowHeight="15" x14ac:dyDescent="0.25"/>
  <cols>
    <col min="1" max="1" width="34.28515625" customWidth="1"/>
    <col min="2" max="2" width="15.85546875" customWidth="1"/>
    <col min="3" max="3" width="25" customWidth="1"/>
    <col min="4" max="4" width="34.5703125" customWidth="1"/>
    <col min="5" max="5" width="100.85546875" customWidth="1"/>
    <col min="6" max="6" width="67.140625" customWidth="1"/>
    <col min="7" max="7" width="22" customWidth="1"/>
    <col min="8" max="8" width="19.7109375" customWidth="1"/>
    <col min="9" max="9" width="26.140625" customWidth="1"/>
    <col min="10" max="10" width="18.7109375" customWidth="1"/>
    <col min="11" max="11" width="22.140625" customWidth="1"/>
    <col min="12" max="12" width="19" customWidth="1"/>
    <col min="13" max="13" width="27.28515625" customWidth="1"/>
    <col min="14" max="14" width="17.85546875" customWidth="1"/>
  </cols>
  <sheetData>
    <row r="1" spans="1:14" x14ac:dyDescent="0.25">
      <c r="A1" s="2" t="s">
        <v>0</v>
      </c>
      <c r="B1" s="2" t="s">
        <v>0</v>
      </c>
      <c r="C1" s="2" t="s">
        <v>0</v>
      </c>
      <c r="D1" s="2" t="s">
        <v>0</v>
      </c>
      <c r="E1" s="2" t="s">
        <v>0</v>
      </c>
      <c r="F1" s="2" t="s">
        <v>0</v>
      </c>
      <c r="G1" s="2" t="s">
        <v>0</v>
      </c>
      <c r="H1" s="2" t="s">
        <v>0</v>
      </c>
      <c r="I1" s="2" t="s">
        <v>0</v>
      </c>
      <c r="J1" s="2" t="s">
        <v>0</v>
      </c>
      <c r="K1" s="2" t="s">
        <v>0</v>
      </c>
      <c r="L1" s="2" t="s">
        <v>0</v>
      </c>
      <c r="M1" s="2" t="s">
        <v>0</v>
      </c>
      <c r="N1" s="2" t="s">
        <v>0</v>
      </c>
    </row>
    <row r="2" spans="1:14" x14ac:dyDescent="0.25">
      <c r="A2" s="1" t="s">
        <v>33</v>
      </c>
    </row>
    <row r="3" spans="1:14" x14ac:dyDescent="0.25">
      <c r="A3" s="1" t="s">
        <v>884</v>
      </c>
      <c r="B3" s="1" t="s">
        <v>885</v>
      </c>
      <c r="C3" s="1" t="s">
        <v>886</v>
      </c>
      <c r="D3" s="1" t="s">
        <v>887</v>
      </c>
      <c r="E3" s="1" t="s">
        <v>888</v>
      </c>
      <c r="F3" s="1" t="s">
        <v>889</v>
      </c>
      <c r="G3" s="1" t="s">
        <v>2704</v>
      </c>
      <c r="H3" s="1" t="s">
        <v>2705</v>
      </c>
      <c r="I3" s="1" t="s">
        <v>2706</v>
      </c>
      <c r="J3" s="1" t="s">
        <v>893</v>
      </c>
      <c r="K3" s="1" t="s">
        <v>2707</v>
      </c>
      <c r="L3" s="1" t="s">
        <v>2708</v>
      </c>
      <c r="M3" s="1" t="s">
        <v>2709</v>
      </c>
      <c r="N3" s="1" t="s">
        <v>2710</v>
      </c>
    </row>
    <row r="4" spans="1:14" x14ac:dyDescent="0.25">
      <c r="D4" t="s">
        <v>2711</v>
      </c>
    </row>
    <row r="6" spans="1:14" x14ac:dyDescent="0.25">
      <c r="A6" s="67" t="s">
        <v>2712</v>
      </c>
      <c r="B6" s="67">
        <v>0</v>
      </c>
      <c r="C6" s="67" t="s">
        <v>2713</v>
      </c>
      <c r="D6" s="67" t="s">
        <v>2714</v>
      </c>
      <c r="E6" s="67" t="s">
        <v>2715</v>
      </c>
      <c r="F6" s="67" t="s">
        <v>2716</v>
      </c>
      <c r="G6" s="67" t="s">
        <v>2712</v>
      </c>
      <c r="I6" t="s">
        <v>2717</v>
      </c>
      <c r="M6" t="s">
        <v>2717</v>
      </c>
      <c r="N6" t="s">
        <v>2717</v>
      </c>
    </row>
    <row r="7" spans="1:14" x14ac:dyDescent="0.25">
      <c r="A7" s="67" t="s">
        <v>2718</v>
      </c>
      <c r="G7" s="67" t="s">
        <v>2718</v>
      </c>
      <c r="I7" t="s">
        <v>2719</v>
      </c>
      <c r="M7" t="s">
        <v>2719</v>
      </c>
      <c r="N7" t="s">
        <v>2719</v>
      </c>
    </row>
    <row r="8" spans="1:14" x14ac:dyDescent="0.25">
      <c r="A8" s="67" t="s">
        <v>1966</v>
      </c>
      <c r="D8" t="s">
        <v>2720</v>
      </c>
      <c r="G8" s="67" t="s">
        <v>1966</v>
      </c>
      <c r="I8" t="s">
        <v>2721</v>
      </c>
      <c r="M8" t="s">
        <v>2721</v>
      </c>
      <c r="N8" t="s">
        <v>2721</v>
      </c>
    </row>
    <row r="11" spans="1:14" x14ac:dyDescent="0.25">
      <c r="D11" t="s">
        <v>2722</v>
      </c>
    </row>
    <row r="12" spans="1:14" x14ac:dyDescent="0.25">
      <c r="A12" s="69" t="s">
        <v>2723</v>
      </c>
      <c r="B12" s="69">
        <v>1</v>
      </c>
      <c r="C12" s="69" t="s">
        <v>2724</v>
      </c>
      <c r="D12" s="69"/>
      <c r="E12" s="69" t="s">
        <v>2725</v>
      </c>
      <c r="F12" s="69" t="s">
        <v>2726</v>
      </c>
      <c r="I12" t="s">
        <v>2727</v>
      </c>
    </row>
    <row r="13" spans="1:14" x14ac:dyDescent="0.25">
      <c r="D13" t="s">
        <v>2728</v>
      </c>
    </row>
    <row r="15" spans="1:14" x14ac:dyDescent="0.25">
      <c r="D15" t="s">
        <v>2729</v>
      </c>
    </row>
    <row r="16" spans="1:14" x14ac:dyDescent="0.25">
      <c r="A16" s="55" t="s">
        <v>2730</v>
      </c>
      <c r="B16" s="55">
        <v>2</v>
      </c>
      <c r="C16" s="55" t="s">
        <v>2731</v>
      </c>
      <c r="D16" s="55" t="s">
        <v>2732</v>
      </c>
      <c r="E16" s="55" t="s">
        <v>2733</v>
      </c>
      <c r="F16" s="55" t="s">
        <v>2732</v>
      </c>
      <c r="I16" s="9" t="s">
        <v>2734</v>
      </c>
    </row>
    <row r="17" spans="1:13" x14ac:dyDescent="0.25">
      <c r="A17" s="55" t="s">
        <v>2735</v>
      </c>
      <c r="I17" s="9" t="s">
        <v>2736</v>
      </c>
    </row>
    <row r="18" spans="1:13" x14ac:dyDescent="0.25">
      <c r="A18" s="67" t="s">
        <v>2737</v>
      </c>
      <c r="I18" s="9" t="s">
        <v>2738</v>
      </c>
      <c r="K18" t="s">
        <v>2737</v>
      </c>
    </row>
    <row r="19" spans="1:13" x14ac:dyDescent="0.25">
      <c r="A19" s="67" t="s">
        <v>2739</v>
      </c>
      <c r="I19" s="9" t="s">
        <v>2740</v>
      </c>
      <c r="K19" t="s">
        <v>2739</v>
      </c>
    </row>
    <row r="20" spans="1:13" x14ac:dyDescent="0.25">
      <c r="A20" s="67" t="s">
        <v>1966</v>
      </c>
      <c r="I20" t="s">
        <v>2741</v>
      </c>
      <c r="K20" t="s">
        <v>1966</v>
      </c>
    </row>
    <row r="21" spans="1:13" x14ac:dyDescent="0.25">
      <c r="A21" s="67" t="s">
        <v>2742</v>
      </c>
      <c r="I21" s="9" t="s">
        <v>2743</v>
      </c>
      <c r="K21" t="s">
        <v>2742</v>
      </c>
    </row>
    <row r="22" spans="1:13" x14ac:dyDescent="0.25">
      <c r="A22" s="67" t="s">
        <v>1962</v>
      </c>
      <c r="I22" t="s">
        <v>2744</v>
      </c>
      <c r="K22" t="s">
        <v>1962</v>
      </c>
    </row>
    <row r="23" spans="1:13" x14ac:dyDescent="0.25">
      <c r="A23" s="67" t="s">
        <v>2745</v>
      </c>
      <c r="I23" t="s">
        <v>2746</v>
      </c>
      <c r="K23" t="s">
        <v>2745</v>
      </c>
    </row>
    <row r="24" spans="1:13" x14ac:dyDescent="0.25">
      <c r="A24" s="67" t="s">
        <v>1980</v>
      </c>
      <c r="I24" t="s">
        <v>2747</v>
      </c>
      <c r="K24" t="s">
        <v>1980</v>
      </c>
    </row>
    <row r="25" spans="1:13" x14ac:dyDescent="0.25">
      <c r="B25" s="20">
        <v>3</v>
      </c>
      <c r="C25" s="20" t="s">
        <v>2748</v>
      </c>
      <c r="D25" s="20"/>
      <c r="E25" s="20" t="s">
        <v>2749</v>
      </c>
      <c r="F25" s="20" t="s">
        <v>2750</v>
      </c>
    </row>
    <row r="27" spans="1:13" x14ac:dyDescent="0.25">
      <c r="D27" t="s">
        <v>2751</v>
      </c>
    </row>
    <row r="28" spans="1:13" x14ac:dyDescent="0.25">
      <c r="A28" s="59" t="s">
        <v>2752</v>
      </c>
      <c r="B28" s="59">
        <v>4</v>
      </c>
      <c r="C28" s="59" t="s">
        <v>2753</v>
      </c>
      <c r="D28" s="59"/>
      <c r="E28" s="59" t="s">
        <v>2754</v>
      </c>
      <c r="F28" s="59" t="s">
        <v>2755</v>
      </c>
      <c r="L28" s="59" t="s">
        <v>2756</v>
      </c>
      <c r="M28" t="s">
        <v>2757</v>
      </c>
    </row>
    <row r="29" spans="1:13" x14ac:dyDescent="0.25">
      <c r="A29" s="39" t="s">
        <v>2758</v>
      </c>
      <c r="B29" s="39">
        <v>5</v>
      </c>
      <c r="C29" s="39" t="s">
        <v>2759</v>
      </c>
      <c r="D29" s="39"/>
      <c r="E29" s="39" t="s">
        <v>2760</v>
      </c>
      <c r="F29" s="39" t="s">
        <v>2761</v>
      </c>
      <c r="L29" s="39" t="s">
        <v>2758</v>
      </c>
      <c r="M29" t="s">
        <v>2762</v>
      </c>
    </row>
    <row r="30" spans="1:13" x14ac:dyDescent="0.25">
      <c r="A30" s="39" t="s">
        <v>1962</v>
      </c>
      <c r="L30" s="39" t="s">
        <v>1962</v>
      </c>
      <c r="M30" t="s">
        <v>2763</v>
      </c>
    </row>
    <row r="31" spans="1:13" x14ac:dyDescent="0.25">
      <c r="A31" s="39" t="s">
        <v>2739</v>
      </c>
      <c r="L31" s="39" t="s">
        <v>2739</v>
      </c>
      <c r="M31" t="s">
        <v>2764</v>
      </c>
    </row>
    <row r="32" spans="1:13" x14ac:dyDescent="0.25">
      <c r="A32" s="39" t="s">
        <v>2745</v>
      </c>
      <c r="L32" s="39" t="s">
        <v>2745</v>
      </c>
      <c r="M32" t="s">
        <v>2765</v>
      </c>
    </row>
    <row r="33" spans="1:13" x14ac:dyDescent="0.25">
      <c r="A33" s="39" t="s">
        <v>1966</v>
      </c>
      <c r="L33" s="39" t="s">
        <v>1966</v>
      </c>
      <c r="M33" t="s">
        <v>2766</v>
      </c>
    </row>
    <row r="34" spans="1:13" x14ac:dyDescent="0.25">
      <c r="A34" s="39" t="s">
        <v>2767</v>
      </c>
      <c r="L34" s="39" t="s">
        <v>2767</v>
      </c>
      <c r="M34" t="s">
        <v>1947</v>
      </c>
    </row>
    <row r="35" spans="1:13" x14ac:dyDescent="0.25">
      <c r="A35" s="39" t="s">
        <v>2768</v>
      </c>
      <c r="L35" s="39" t="s">
        <v>2768</v>
      </c>
      <c r="M35" t="s">
        <v>2769</v>
      </c>
    </row>
    <row r="36" spans="1:13" x14ac:dyDescent="0.25">
      <c r="A36" s="34" t="s">
        <v>2770</v>
      </c>
      <c r="B36" s="34">
        <v>6</v>
      </c>
      <c r="C36" s="34" t="s">
        <v>2771</v>
      </c>
      <c r="D36" s="34"/>
      <c r="E36" s="34" t="s">
        <v>2772</v>
      </c>
      <c r="F36" s="34" t="s">
        <v>2773</v>
      </c>
      <c r="M36" t="s">
        <v>1971</v>
      </c>
    </row>
    <row r="37" spans="1:13" x14ac:dyDescent="0.25">
      <c r="A37" s="34"/>
      <c r="B37" s="34"/>
      <c r="C37" s="34"/>
      <c r="D37" s="34"/>
      <c r="E37" s="34"/>
      <c r="F37" s="34" t="s">
        <v>2774</v>
      </c>
    </row>
    <row r="38" spans="1:13" x14ac:dyDescent="0.25">
      <c r="A38" s="34"/>
      <c r="B38" s="34"/>
      <c r="C38" s="34"/>
      <c r="D38" s="34"/>
      <c r="E38" s="34"/>
      <c r="F38" s="34" t="s">
        <v>2775</v>
      </c>
    </row>
    <row r="39" spans="1:13" x14ac:dyDescent="0.25">
      <c r="A39" s="37" t="s">
        <v>2776</v>
      </c>
      <c r="B39" s="37">
        <v>7</v>
      </c>
      <c r="C39" s="37" t="s">
        <v>2777</v>
      </c>
      <c r="D39" s="37"/>
      <c r="E39" s="37" t="s">
        <v>2778</v>
      </c>
      <c r="F39" s="37" t="s">
        <v>2779</v>
      </c>
      <c r="M39" t="s">
        <v>1969</v>
      </c>
    </row>
    <row r="40" spans="1:13" x14ac:dyDescent="0.25">
      <c r="A40" s="32" t="s">
        <v>2780</v>
      </c>
      <c r="B40" s="32">
        <v>8</v>
      </c>
      <c r="C40" s="32" t="s">
        <v>2781</v>
      </c>
      <c r="D40" s="32"/>
      <c r="E40" s="32" t="s">
        <v>2782</v>
      </c>
      <c r="F40" s="32" t="s">
        <v>2783</v>
      </c>
      <c r="M40" t="s">
        <v>1515</v>
      </c>
    </row>
    <row r="41" spans="1:13" x14ac:dyDescent="0.25">
      <c r="B41">
        <v>9</v>
      </c>
      <c r="C41" t="s">
        <v>2784</v>
      </c>
      <c r="E41" t="s">
        <v>2785</v>
      </c>
      <c r="F41" t="s">
        <v>2786</v>
      </c>
    </row>
    <row r="42" spans="1:13" x14ac:dyDescent="0.25">
      <c r="A42" s="64" t="s">
        <v>2787</v>
      </c>
      <c r="B42" s="64">
        <v>10</v>
      </c>
      <c r="C42" s="64" t="s">
        <v>2788</v>
      </c>
      <c r="D42" s="64"/>
      <c r="E42" s="64" t="s">
        <v>2789</v>
      </c>
      <c r="F42" s="64" t="s">
        <v>2790</v>
      </c>
    </row>
    <row r="43" spans="1:13" x14ac:dyDescent="0.25">
      <c r="F43" s="64" t="s">
        <v>2791</v>
      </c>
    </row>
    <row r="44" spans="1:13" x14ac:dyDescent="0.25">
      <c r="F44" s="64" t="s">
        <v>2792</v>
      </c>
    </row>
    <row r="45" spans="1:13" x14ac:dyDescent="0.25">
      <c r="B45" s="20">
        <v>11</v>
      </c>
      <c r="C45" s="20" t="s">
        <v>2793</v>
      </c>
      <c r="D45" s="20"/>
      <c r="E45" s="20" t="s">
        <v>2794</v>
      </c>
      <c r="F45" s="20" t="s">
        <v>2795</v>
      </c>
    </row>
    <row r="47" spans="1:13" x14ac:dyDescent="0.25">
      <c r="B47" s="34">
        <v>12</v>
      </c>
      <c r="C47" s="34" t="s">
        <v>2796</v>
      </c>
      <c r="D47" s="34"/>
      <c r="E47" s="24" t="s">
        <v>2797</v>
      </c>
      <c r="F47" s="34" t="s">
        <v>2773</v>
      </c>
    </row>
    <row r="48" spans="1:13" x14ac:dyDescent="0.25">
      <c r="B48" s="32">
        <v>13</v>
      </c>
      <c r="C48" s="32" t="s">
        <v>2798</v>
      </c>
      <c r="D48" s="32"/>
      <c r="E48" s="32" t="s">
        <v>2799</v>
      </c>
      <c r="F48" s="32" t="s">
        <v>2800</v>
      </c>
    </row>
    <row r="49" spans="1:18" x14ac:dyDescent="0.25">
      <c r="D49" t="s">
        <v>2801</v>
      </c>
    </row>
    <row r="51" spans="1:18" x14ac:dyDescent="0.25">
      <c r="A51" s="37" t="s">
        <v>2802</v>
      </c>
      <c r="B51" s="37">
        <v>14</v>
      </c>
      <c r="C51" s="37" t="s">
        <v>2803</v>
      </c>
      <c r="D51" s="37" t="s">
        <v>2804</v>
      </c>
      <c r="E51" s="37" t="s">
        <v>2805</v>
      </c>
      <c r="F51" s="37" t="s">
        <v>2806</v>
      </c>
      <c r="N51" s="37" t="s">
        <v>2807</v>
      </c>
      <c r="R51" s="37" t="s">
        <v>2808</v>
      </c>
    </row>
    <row r="52" spans="1:18" x14ac:dyDescent="0.25">
      <c r="A52" s="37" t="s">
        <v>2809</v>
      </c>
      <c r="D52" t="s">
        <v>2810</v>
      </c>
      <c r="F52" s="37" t="s">
        <v>2811</v>
      </c>
      <c r="N52" s="37" t="s">
        <v>2734</v>
      </c>
    </row>
    <row r="53" spans="1:18" x14ac:dyDescent="0.25">
      <c r="A53" s="37" t="s">
        <v>1837</v>
      </c>
      <c r="N53" s="37" t="s">
        <v>2809</v>
      </c>
    </row>
    <row r="54" spans="1:18" x14ac:dyDescent="0.25">
      <c r="A54" s="37" t="s">
        <v>1932</v>
      </c>
      <c r="N54" s="37" t="s">
        <v>1837</v>
      </c>
    </row>
    <row r="55" spans="1:18" x14ac:dyDescent="0.25">
      <c r="A55" s="37" t="s">
        <v>2812</v>
      </c>
      <c r="N55" s="37" t="s">
        <v>1515</v>
      </c>
    </row>
    <row r="56" spans="1:18" x14ac:dyDescent="0.25">
      <c r="B56" s="32">
        <v>15</v>
      </c>
      <c r="C56" s="32" t="s">
        <v>2813</v>
      </c>
      <c r="D56" s="32"/>
      <c r="E56" s="32" t="s">
        <v>2814</v>
      </c>
      <c r="F56" s="32" t="s">
        <v>2815</v>
      </c>
      <c r="N56" s="37" t="s">
        <v>2812</v>
      </c>
    </row>
    <row r="58" spans="1:18" x14ac:dyDescent="0.25">
      <c r="B58" s="20">
        <v>16</v>
      </c>
      <c r="C58" s="20" t="s">
        <v>2816</v>
      </c>
      <c r="D58" s="20"/>
      <c r="E58" s="20" t="s">
        <v>2817</v>
      </c>
      <c r="F58" s="20" t="s">
        <v>2818</v>
      </c>
    </row>
    <row r="59" spans="1:18" x14ac:dyDescent="0.25">
      <c r="F59" s="20" t="s">
        <v>2819</v>
      </c>
    </row>
    <row r="61" spans="1:18" x14ac:dyDescent="0.25">
      <c r="B61" s="20">
        <v>17</v>
      </c>
      <c r="C61" s="20" t="s">
        <v>2820</v>
      </c>
      <c r="D61" s="20"/>
      <c r="E61" s="20" t="s">
        <v>2821</v>
      </c>
      <c r="F61" s="20" t="s">
        <v>2822</v>
      </c>
    </row>
    <row r="62" spans="1:18" x14ac:dyDescent="0.25">
      <c r="F62" s="20" t="s">
        <v>2823</v>
      </c>
    </row>
    <row r="64" spans="1:18" x14ac:dyDescent="0.25">
      <c r="B64" s="20">
        <v>18</v>
      </c>
      <c r="C64" s="20" t="s">
        <v>2824</v>
      </c>
      <c r="D64" s="20"/>
      <c r="E64" s="20" t="s">
        <v>2825</v>
      </c>
      <c r="F64" s="20" t="s">
        <v>2826</v>
      </c>
    </row>
  </sheetData>
  <hyperlinks>
    <hyperlink ref="A1" location="contents!A1" display="Contents" xr:uid="{00000000-0004-0000-1400-000000000000}"/>
    <hyperlink ref="B1" location="contents!A1" display="Contents" xr:uid="{00000000-0004-0000-1400-000001000000}"/>
    <hyperlink ref="C1" location="contents!A1" display="Contents" xr:uid="{00000000-0004-0000-1400-000002000000}"/>
    <hyperlink ref="D1" location="contents!A1" display="Contents" xr:uid="{00000000-0004-0000-1400-000003000000}"/>
    <hyperlink ref="E1" location="contents!A1" display="Contents" xr:uid="{00000000-0004-0000-1400-000004000000}"/>
    <hyperlink ref="F1" location="contents!A1" display="Contents" xr:uid="{00000000-0004-0000-1400-000005000000}"/>
    <hyperlink ref="G1" location="contents!A1" display="Contents" xr:uid="{00000000-0004-0000-1400-000006000000}"/>
    <hyperlink ref="H1" location="contents!A1" display="Contents" xr:uid="{00000000-0004-0000-1400-000007000000}"/>
    <hyperlink ref="I1" location="contents!A1" display="Contents" xr:uid="{00000000-0004-0000-1400-000008000000}"/>
    <hyperlink ref="J1" location="contents!A1" display="Contents" xr:uid="{00000000-0004-0000-1400-000009000000}"/>
    <hyperlink ref="K1" location="contents!A1" display="Contents" xr:uid="{00000000-0004-0000-1400-00000A000000}"/>
    <hyperlink ref="L1" location="contents!A1" display="Contents" xr:uid="{00000000-0004-0000-1400-00000B000000}"/>
    <hyperlink ref="M1" location="contents!A1" display="Contents" xr:uid="{00000000-0004-0000-1400-00000C000000}"/>
    <hyperlink ref="N1" location="contents!A1" display="Contents" xr:uid="{00000000-0004-0000-1400-00000D000000}"/>
  </hyperlinks>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4"/>
  <sheetViews>
    <sheetView zoomScaleNormal="100" workbookViewId="0">
      <selection activeCell="B55" sqref="B55"/>
    </sheetView>
  </sheetViews>
  <sheetFormatPr defaultColWidth="8.7109375" defaultRowHeight="15" x14ac:dyDescent="0.25"/>
  <cols>
    <col min="1" max="1" width="27.85546875" customWidth="1"/>
    <col min="2" max="2" width="32.140625" customWidth="1"/>
    <col min="3" max="3" width="29.85546875" customWidth="1"/>
    <col min="4" max="4" width="21.42578125" customWidth="1"/>
    <col min="5" max="5" width="16.28515625" customWidth="1"/>
    <col min="6" max="6" width="26.28515625" customWidth="1"/>
    <col min="7" max="7" width="53" customWidth="1"/>
  </cols>
  <sheetData>
    <row r="1" spans="1:7" x14ac:dyDescent="0.25">
      <c r="A1" s="2" t="s">
        <v>0</v>
      </c>
    </row>
    <row r="2" spans="1:7" x14ac:dyDescent="0.25">
      <c r="A2" s="1" t="s">
        <v>2827</v>
      </c>
    </row>
    <row r="3" spans="1:7" x14ac:dyDescent="0.25">
      <c r="A3" t="s">
        <v>1295</v>
      </c>
      <c r="B3" s="1" t="s">
        <v>884</v>
      </c>
      <c r="C3" s="1" t="s">
        <v>885</v>
      </c>
      <c r="D3" s="1" t="s">
        <v>886</v>
      </c>
      <c r="E3" s="1" t="s">
        <v>887</v>
      </c>
      <c r="F3" s="1" t="s">
        <v>888</v>
      </c>
      <c r="G3" s="1" t="s">
        <v>889</v>
      </c>
    </row>
    <row r="6" spans="1:7" x14ac:dyDescent="0.25">
      <c r="C6" s="26">
        <v>0</v>
      </c>
      <c r="D6" s="26" t="s">
        <v>2828</v>
      </c>
      <c r="E6" s="26"/>
      <c r="F6" s="26" t="s">
        <v>2829</v>
      </c>
      <c r="G6" s="26" t="s">
        <v>2830</v>
      </c>
    </row>
    <row r="7" spans="1:7" x14ac:dyDescent="0.25">
      <c r="G7" s="26" t="s">
        <v>2831</v>
      </c>
    </row>
    <row r="9" spans="1:7" x14ac:dyDescent="0.25">
      <c r="C9" s="43">
        <v>1</v>
      </c>
      <c r="D9" s="43" t="s">
        <v>2832</v>
      </c>
      <c r="E9" s="43"/>
      <c r="F9" s="43" t="s">
        <v>2833</v>
      </c>
      <c r="G9" s="43" t="s">
        <v>2834</v>
      </c>
    </row>
    <row r="10" spans="1:7" x14ac:dyDescent="0.25">
      <c r="G10" s="43" t="s">
        <v>2835</v>
      </c>
    </row>
    <row r="11" spans="1:7" x14ac:dyDescent="0.25">
      <c r="G11" s="43" t="s">
        <v>2836</v>
      </c>
    </row>
    <row r="13" spans="1:7" x14ac:dyDescent="0.25">
      <c r="C13" s="25">
        <v>2</v>
      </c>
      <c r="D13" s="25" t="s">
        <v>2837</v>
      </c>
      <c r="E13" s="25"/>
      <c r="F13" s="25" t="s">
        <v>2838</v>
      </c>
      <c r="G13" s="25" t="s">
        <v>2834</v>
      </c>
    </row>
    <row r="15" spans="1:7" x14ac:dyDescent="0.25">
      <c r="C15" s="67">
        <v>3</v>
      </c>
      <c r="D15" s="67" t="s">
        <v>2839</v>
      </c>
      <c r="E15" s="67"/>
      <c r="F15" s="67" t="s">
        <v>2840</v>
      </c>
      <c r="G15" s="67" t="s">
        <v>2834</v>
      </c>
    </row>
    <row r="16" spans="1:7" x14ac:dyDescent="0.25">
      <c r="G16" s="67" t="s">
        <v>2835</v>
      </c>
    </row>
    <row r="17" spans="3:7" x14ac:dyDescent="0.25">
      <c r="G17" s="67" t="s">
        <v>2836</v>
      </c>
    </row>
    <row r="19" spans="3:7" x14ac:dyDescent="0.25">
      <c r="C19" s="36">
        <v>4</v>
      </c>
      <c r="D19" s="36" t="s">
        <v>2841</v>
      </c>
      <c r="E19" s="36"/>
      <c r="F19" s="36" t="s">
        <v>2842</v>
      </c>
      <c r="G19" s="36" t="s">
        <v>2843</v>
      </c>
    </row>
    <row r="21" spans="3:7" x14ac:dyDescent="0.25">
      <c r="C21" s="45">
        <v>5</v>
      </c>
      <c r="D21" s="45" t="s">
        <v>2844</v>
      </c>
      <c r="E21" s="45"/>
      <c r="F21" s="45" t="s">
        <v>2845</v>
      </c>
      <c r="G21" s="45" t="s">
        <v>2846</v>
      </c>
    </row>
    <row r="22" spans="3:7" x14ac:dyDescent="0.25">
      <c r="G22" s="45" t="s">
        <v>2847</v>
      </c>
    </row>
    <row r="24" spans="3:7" x14ac:dyDescent="0.25">
      <c r="C24" s="71">
        <v>6</v>
      </c>
      <c r="D24" s="71" t="s">
        <v>2848</v>
      </c>
      <c r="E24" s="71"/>
      <c r="F24" s="71" t="s">
        <v>2849</v>
      </c>
      <c r="G24" s="71" t="s">
        <v>2850</v>
      </c>
    </row>
  </sheetData>
  <hyperlinks>
    <hyperlink ref="A1" location="contents!A1" display="Contents" xr:uid="{00000000-0004-0000-1500-000000000000}"/>
  </hyperlinks>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9"/>
  <sheetViews>
    <sheetView zoomScaleNormal="100" workbookViewId="0"/>
  </sheetViews>
  <sheetFormatPr defaultColWidth="8.7109375" defaultRowHeight="15" x14ac:dyDescent="0.25"/>
  <cols>
    <col min="1" max="1" width="53.28515625" customWidth="1"/>
    <col min="2" max="2" width="40.42578125" customWidth="1"/>
    <col min="3" max="3" width="10.42578125" customWidth="1"/>
    <col min="4" max="4" width="27.42578125" customWidth="1"/>
    <col min="5" max="5" width="41.85546875" customWidth="1"/>
    <col min="6" max="6" width="97.85546875" customWidth="1"/>
    <col min="7" max="7" width="50.7109375" customWidth="1"/>
    <col min="8" max="8" width="26.5703125" customWidth="1"/>
    <col min="9" max="9" width="24.85546875" customWidth="1"/>
    <col min="10" max="10" width="26.42578125" customWidth="1"/>
    <col min="11" max="12" width="29.7109375" customWidth="1"/>
    <col min="13" max="13" width="28.140625" customWidth="1"/>
  </cols>
  <sheetData>
    <row r="1" spans="1:19" x14ac:dyDescent="0.25">
      <c r="A1" s="2" t="s">
        <v>0</v>
      </c>
    </row>
    <row r="2" spans="1:19" x14ac:dyDescent="0.25">
      <c r="A2" s="1" t="s">
        <v>35</v>
      </c>
    </row>
    <row r="3" spans="1:19" x14ac:dyDescent="0.25">
      <c r="A3" t="s">
        <v>1295</v>
      </c>
      <c r="B3" s="1" t="s">
        <v>884</v>
      </c>
      <c r="C3" s="1" t="s">
        <v>885</v>
      </c>
      <c r="D3" s="1" t="s">
        <v>886</v>
      </c>
      <c r="E3" s="1" t="s">
        <v>887</v>
      </c>
      <c r="F3" s="1" t="s">
        <v>888</v>
      </c>
      <c r="G3" s="1" t="s">
        <v>889</v>
      </c>
      <c r="H3" s="1" t="s">
        <v>2851</v>
      </c>
      <c r="I3" s="1" t="s">
        <v>2852</v>
      </c>
      <c r="J3" s="1" t="s">
        <v>2853</v>
      </c>
      <c r="K3" s="1" t="s">
        <v>893</v>
      </c>
      <c r="L3" s="1" t="s">
        <v>2854</v>
      </c>
      <c r="M3" s="1" t="s">
        <v>2855</v>
      </c>
    </row>
    <row r="4" spans="1:19" x14ac:dyDescent="0.25">
      <c r="B4" s="1"/>
      <c r="C4" s="1"/>
      <c r="D4" s="1"/>
      <c r="E4" s="1"/>
      <c r="F4" s="1"/>
      <c r="G4" s="1"/>
      <c r="H4" s="1"/>
      <c r="I4" s="1"/>
      <c r="J4" s="1"/>
      <c r="K4" s="1"/>
      <c r="L4" s="1"/>
      <c r="M4" s="1"/>
    </row>
    <row r="5" spans="1:19" x14ac:dyDescent="0.25">
      <c r="A5" s="44" t="s">
        <v>2856</v>
      </c>
      <c r="B5" s="44" t="s">
        <v>2857</v>
      </c>
      <c r="C5" s="44">
        <v>0</v>
      </c>
      <c r="D5" s="44" t="s">
        <v>2858</v>
      </c>
      <c r="E5" s="44"/>
      <c r="F5" s="44" t="s">
        <v>2859</v>
      </c>
      <c r="G5" s="44" t="s">
        <v>2121</v>
      </c>
      <c r="H5" s="12"/>
      <c r="I5" s="12"/>
      <c r="J5" s="12"/>
      <c r="K5" s="12"/>
      <c r="L5" s="12"/>
      <c r="M5" s="12"/>
      <c r="N5" s="12"/>
      <c r="O5" s="12"/>
      <c r="P5" s="12"/>
      <c r="Q5" s="12"/>
    </row>
    <row r="6" spans="1:19" x14ac:dyDescent="0.25">
      <c r="A6" s="44" t="s">
        <v>2860</v>
      </c>
      <c r="B6" s="44" t="s">
        <v>2861</v>
      </c>
      <c r="C6" s="12"/>
      <c r="D6" s="12"/>
      <c r="E6" s="12"/>
      <c r="F6" s="12"/>
      <c r="G6" s="44" t="s">
        <v>2122</v>
      </c>
      <c r="H6" s="12"/>
      <c r="I6" s="12"/>
      <c r="J6" s="12"/>
      <c r="K6" s="12"/>
      <c r="L6" s="12"/>
      <c r="M6" s="12"/>
      <c r="N6" s="12"/>
      <c r="O6" s="12"/>
      <c r="P6" s="12"/>
      <c r="Q6" s="12"/>
    </row>
    <row r="7" spans="1:19" x14ac:dyDescent="0.25">
      <c r="B7" s="12"/>
      <c r="C7" s="12"/>
      <c r="D7" s="12"/>
      <c r="E7" s="12"/>
      <c r="F7" s="12"/>
      <c r="G7" s="44" t="s">
        <v>2123</v>
      </c>
      <c r="H7" s="12"/>
      <c r="I7" s="12"/>
      <c r="J7" s="12"/>
      <c r="K7" s="12"/>
      <c r="L7" s="12"/>
      <c r="M7" s="12"/>
      <c r="N7" s="12"/>
      <c r="O7" s="12"/>
      <c r="P7" s="12"/>
      <c r="Q7" s="12"/>
    </row>
    <row r="8" spans="1:19" x14ac:dyDescent="0.25">
      <c r="B8" s="12"/>
      <c r="C8" s="12"/>
      <c r="D8" s="12"/>
      <c r="E8" s="12"/>
      <c r="F8" s="12"/>
      <c r="G8" s="44" t="s">
        <v>2124</v>
      </c>
      <c r="H8" s="12"/>
      <c r="I8" s="12"/>
      <c r="J8" s="12"/>
      <c r="K8" s="12"/>
      <c r="L8" s="12"/>
      <c r="M8" s="12"/>
      <c r="N8" s="12"/>
      <c r="O8" s="12"/>
      <c r="P8" s="12"/>
      <c r="Q8" s="12"/>
    </row>
    <row r="9" spans="1:19" x14ac:dyDescent="0.25">
      <c r="B9" s="12"/>
      <c r="C9" s="12"/>
      <c r="D9" s="12"/>
      <c r="E9" s="12"/>
      <c r="F9" s="12"/>
      <c r="G9" s="44" t="s">
        <v>2125</v>
      </c>
      <c r="H9" s="12"/>
      <c r="I9" s="12"/>
      <c r="J9" s="12"/>
      <c r="K9" s="12"/>
      <c r="L9" s="12"/>
      <c r="M9" s="12"/>
      <c r="N9" s="12"/>
      <c r="O9" s="12"/>
      <c r="P9" s="12"/>
      <c r="Q9" s="12"/>
    </row>
    <row r="10" spans="1:19" x14ac:dyDescent="0.25">
      <c r="B10" s="12"/>
      <c r="C10" s="12"/>
      <c r="D10" s="12"/>
      <c r="E10" s="12"/>
      <c r="F10" s="12"/>
      <c r="G10" s="44" t="s">
        <v>2126</v>
      </c>
      <c r="H10" s="12"/>
      <c r="I10" s="12"/>
      <c r="J10" s="12"/>
      <c r="K10" s="12"/>
      <c r="L10" s="12"/>
      <c r="M10" s="12"/>
      <c r="N10" s="12"/>
      <c r="O10" s="12"/>
      <c r="P10" s="12"/>
      <c r="Q10" s="12"/>
    </row>
    <row r="11" spans="1:19" x14ac:dyDescent="0.25">
      <c r="B11" s="12"/>
      <c r="C11" s="12"/>
      <c r="D11" s="12"/>
      <c r="E11" s="12"/>
      <c r="F11" s="12"/>
      <c r="H11" s="12"/>
      <c r="I11" s="12"/>
      <c r="J11" s="12"/>
      <c r="K11" s="12"/>
      <c r="L11" s="12"/>
      <c r="M11" s="12"/>
      <c r="N11" s="12"/>
      <c r="O11" s="12"/>
      <c r="P11" s="12"/>
      <c r="Q11" s="12"/>
    </row>
    <row r="12" spans="1:19" x14ac:dyDescent="0.25">
      <c r="A12" s="26" t="s">
        <v>2862</v>
      </c>
      <c r="B12" s="26"/>
      <c r="C12" s="26">
        <v>1</v>
      </c>
      <c r="D12" s="26" t="s">
        <v>2863</v>
      </c>
      <c r="E12" s="26"/>
      <c r="F12" s="26" t="s">
        <v>2864</v>
      </c>
      <c r="G12" s="26" t="s">
        <v>2865</v>
      </c>
      <c r="H12" s="12"/>
      <c r="I12" s="12"/>
      <c r="J12" s="12"/>
      <c r="K12" s="12"/>
      <c r="L12" s="12"/>
      <c r="M12" s="12"/>
      <c r="N12" s="12"/>
      <c r="O12" s="12" t="s">
        <v>2866</v>
      </c>
      <c r="P12" s="12"/>
      <c r="Q12" s="12"/>
      <c r="S12" s="26" t="s">
        <v>2867</v>
      </c>
    </row>
    <row r="13" spans="1:19" x14ac:dyDescent="0.25">
      <c r="A13" s="26"/>
      <c r="B13" s="26"/>
      <c r="C13" s="26"/>
      <c r="D13" s="26"/>
      <c r="E13" s="26"/>
      <c r="F13" s="26"/>
      <c r="G13" s="26" t="s">
        <v>2868</v>
      </c>
      <c r="H13" s="12"/>
      <c r="I13" s="12"/>
      <c r="J13" s="12"/>
      <c r="K13" s="12"/>
      <c r="L13" s="12"/>
      <c r="M13" s="12"/>
      <c r="N13" s="12"/>
      <c r="O13" s="12"/>
      <c r="P13" s="12"/>
      <c r="Q13" s="12"/>
    </row>
    <row r="14" spans="1:19" x14ac:dyDescent="0.25">
      <c r="A14" s="26"/>
      <c r="B14" s="26"/>
      <c r="C14" s="26"/>
      <c r="D14" s="26"/>
      <c r="E14" s="26"/>
      <c r="F14" s="26"/>
      <c r="G14" s="26" t="s">
        <v>2869</v>
      </c>
      <c r="H14" s="12"/>
      <c r="I14" s="12"/>
      <c r="J14" s="12"/>
      <c r="K14" s="12"/>
      <c r="L14" s="12"/>
      <c r="M14" s="12"/>
      <c r="N14" s="12"/>
      <c r="O14" s="12"/>
      <c r="P14" s="12"/>
      <c r="Q14" s="12"/>
    </row>
    <row r="15" spans="1:19" x14ac:dyDescent="0.25">
      <c r="B15" s="12"/>
      <c r="C15" s="12"/>
      <c r="D15" s="12"/>
      <c r="E15" s="12"/>
      <c r="F15" s="12"/>
      <c r="G15" s="26" t="s">
        <v>2870</v>
      </c>
      <c r="H15" s="12"/>
      <c r="I15" s="12"/>
      <c r="J15" s="12"/>
      <c r="K15" s="12"/>
      <c r="L15" s="12"/>
      <c r="M15" s="12"/>
      <c r="N15" s="12"/>
      <c r="O15" s="12"/>
      <c r="P15" s="12"/>
      <c r="Q15" s="12"/>
    </row>
    <row r="16" spans="1:19" x14ac:dyDescent="0.25">
      <c r="B16" s="12"/>
      <c r="C16" s="12"/>
      <c r="D16" s="12"/>
      <c r="E16" s="12"/>
      <c r="F16" s="12"/>
      <c r="G16" s="26" t="s">
        <v>2871</v>
      </c>
      <c r="H16" s="12"/>
      <c r="I16" s="12"/>
      <c r="J16" s="12"/>
      <c r="K16" s="12"/>
      <c r="L16" s="12"/>
      <c r="M16" s="12"/>
      <c r="N16" s="12"/>
      <c r="O16" s="12"/>
      <c r="P16" s="12"/>
      <c r="Q16" s="12"/>
    </row>
    <row r="17" spans="2:17" x14ac:dyDescent="0.25">
      <c r="B17" s="12"/>
      <c r="C17" s="12"/>
      <c r="D17" s="12"/>
      <c r="E17" s="12"/>
      <c r="F17" s="12"/>
      <c r="G17" s="12"/>
      <c r="H17" s="12"/>
      <c r="I17" s="12"/>
      <c r="J17" s="12"/>
      <c r="K17" s="12"/>
      <c r="L17" s="12"/>
      <c r="M17" s="12"/>
      <c r="N17" s="12"/>
      <c r="O17" s="12"/>
      <c r="P17" s="12"/>
      <c r="Q17" s="12"/>
    </row>
    <row r="18" spans="2:17" x14ac:dyDescent="0.25">
      <c r="B18" s="12"/>
      <c r="C18" s="20">
        <v>2</v>
      </c>
      <c r="D18" s="20" t="s">
        <v>2872</v>
      </c>
      <c r="E18" s="20"/>
      <c r="F18" s="20" t="s">
        <v>2873</v>
      </c>
      <c r="G18" s="20" t="s">
        <v>2874</v>
      </c>
      <c r="H18" s="12"/>
      <c r="I18" s="12"/>
      <c r="J18" s="12"/>
      <c r="K18" s="12"/>
      <c r="L18" s="12"/>
      <c r="M18" s="12"/>
      <c r="N18" s="12"/>
      <c r="O18" s="12"/>
      <c r="P18" s="12"/>
      <c r="Q18" s="12"/>
    </row>
    <row r="19" spans="2:17" x14ac:dyDescent="0.25">
      <c r="B19" s="12"/>
      <c r="C19" s="12"/>
      <c r="D19" s="12"/>
      <c r="E19" s="12"/>
      <c r="F19" s="12"/>
      <c r="G19" s="12"/>
      <c r="H19" s="12"/>
      <c r="I19" s="12"/>
      <c r="J19" s="12"/>
      <c r="K19" s="12"/>
      <c r="L19" s="12"/>
      <c r="M19" s="12"/>
      <c r="N19" s="12"/>
      <c r="O19" s="12"/>
      <c r="P19" s="12"/>
      <c r="Q19" s="12"/>
    </row>
    <row r="20" spans="2:17" x14ac:dyDescent="0.25">
      <c r="B20" s="43" t="s">
        <v>2875</v>
      </c>
      <c r="C20" s="43">
        <v>3</v>
      </c>
      <c r="D20" s="43" t="s">
        <v>2876</v>
      </c>
      <c r="E20" s="43"/>
      <c r="F20" s="43" t="s">
        <v>2877</v>
      </c>
      <c r="G20" s="43" t="s">
        <v>2878</v>
      </c>
      <c r="H20" s="24" t="s">
        <v>900</v>
      </c>
      <c r="I20" s="24" t="s">
        <v>900</v>
      </c>
      <c r="J20" s="24" t="s">
        <v>900</v>
      </c>
      <c r="K20" s="12"/>
      <c r="L20" s="12"/>
      <c r="M20" s="12"/>
      <c r="N20" s="12"/>
      <c r="O20" s="12"/>
      <c r="P20" s="12"/>
      <c r="Q20" s="12"/>
    </row>
    <row r="21" spans="2:17" x14ac:dyDescent="0.25">
      <c r="B21" s="43" t="s">
        <v>2879</v>
      </c>
      <c r="C21" s="12"/>
      <c r="D21" s="12"/>
      <c r="E21" s="12"/>
      <c r="F21" s="12"/>
      <c r="G21" s="43" t="s">
        <v>2880</v>
      </c>
      <c r="I21" s="24" t="s">
        <v>2769</v>
      </c>
      <c r="K21" s="12"/>
      <c r="L21" s="12"/>
      <c r="M21" s="12"/>
      <c r="N21" s="12"/>
      <c r="O21" s="12"/>
      <c r="P21" s="12"/>
      <c r="Q21" s="12"/>
    </row>
    <row r="22" spans="2:17" x14ac:dyDescent="0.25">
      <c r="B22" s="43" t="s">
        <v>1966</v>
      </c>
      <c r="C22" s="12"/>
      <c r="D22" s="12"/>
      <c r="E22" s="12"/>
      <c r="F22" s="12"/>
      <c r="G22" s="43" t="s">
        <v>2881</v>
      </c>
      <c r="H22" s="43" t="s">
        <v>2875</v>
      </c>
      <c r="I22" s="12"/>
      <c r="J22" t="s">
        <v>2882</v>
      </c>
      <c r="K22" s="12"/>
      <c r="L22" s="12"/>
      <c r="M22" s="12"/>
      <c r="N22" s="12"/>
      <c r="O22" s="12"/>
      <c r="P22" s="12"/>
      <c r="Q22" s="12"/>
    </row>
    <row r="23" spans="2:17" x14ac:dyDescent="0.25">
      <c r="B23" s="43" t="s">
        <v>2883</v>
      </c>
      <c r="C23" s="12"/>
      <c r="D23" s="12"/>
      <c r="E23" s="12"/>
      <c r="F23" s="12"/>
      <c r="G23" s="43" t="s">
        <v>2884</v>
      </c>
      <c r="H23" s="43" t="s">
        <v>2879</v>
      </c>
      <c r="I23" s="12"/>
      <c r="J23" t="s">
        <v>2885</v>
      </c>
      <c r="K23" s="12"/>
      <c r="L23" s="12"/>
      <c r="M23" s="12"/>
      <c r="N23" s="12"/>
      <c r="O23" s="12"/>
      <c r="P23" s="12"/>
      <c r="Q23" s="12"/>
    </row>
    <row r="24" spans="2:17" x14ac:dyDescent="0.25">
      <c r="B24" s="43" t="s">
        <v>2886</v>
      </c>
      <c r="C24" s="1"/>
      <c r="D24" s="1"/>
      <c r="E24" s="1"/>
      <c r="F24" s="1"/>
      <c r="G24" s="1"/>
      <c r="H24" s="43" t="s">
        <v>1966</v>
      </c>
      <c r="I24" s="12"/>
      <c r="J24" t="s">
        <v>2887</v>
      </c>
      <c r="K24" s="1"/>
      <c r="L24" s="1"/>
      <c r="M24" s="1"/>
    </row>
    <row r="25" spans="2:17" x14ac:dyDescent="0.25">
      <c r="B25" s="43"/>
      <c r="C25" s="1"/>
      <c r="D25" s="1"/>
      <c r="E25" s="1"/>
      <c r="F25" s="1"/>
      <c r="G25" s="1"/>
      <c r="H25" s="24" t="s">
        <v>2769</v>
      </c>
      <c r="I25" s="12"/>
      <c r="J25" s="24" t="s">
        <v>2769</v>
      </c>
      <c r="K25" s="1"/>
      <c r="L25" s="1"/>
      <c r="M25" s="1"/>
    </row>
    <row r="26" spans="2:17" x14ac:dyDescent="0.25">
      <c r="B26" s="43" t="s">
        <v>2888</v>
      </c>
      <c r="H26" s="43" t="s">
        <v>2883</v>
      </c>
      <c r="I26" s="1"/>
      <c r="J26" t="s">
        <v>2889</v>
      </c>
      <c r="P26" s="64" t="s">
        <v>2873</v>
      </c>
    </row>
    <row r="27" spans="2:17" x14ac:dyDescent="0.25">
      <c r="B27" s="43" t="s">
        <v>2890</v>
      </c>
      <c r="H27" s="43" t="s">
        <v>2886</v>
      </c>
      <c r="J27" t="s">
        <v>2891</v>
      </c>
      <c r="P27" s="64" t="s">
        <v>2877</v>
      </c>
    </row>
    <row r="28" spans="2:17" x14ac:dyDescent="0.25">
      <c r="B28" s="43" t="s">
        <v>2892</v>
      </c>
      <c r="H28" s="43" t="s">
        <v>2888</v>
      </c>
      <c r="J28" t="s">
        <v>2893</v>
      </c>
      <c r="P28" s="64"/>
    </row>
    <row r="29" spans="2:17" x14ac:dyDescent="0.25">
      <c r="B29" s="43" t="s">
        <v>2894</v>
      </c>
      <c r="H29" s="43" t="s">
        <v>2890</v>
      </c>
      <c r="J29" t="s">
        <v>2895</v>
      </c>
      <c r="P29" s="64"/>
    </row>
    <row r="30" spans="2:17" x14ac:dyDescent="0.25">
      <c r="B30" s="43" t="s">
        <v>2896</v>
      </c>
      <c r="H30" s="43" t="s">
        <v>2892</v>
      </c>
      <c r="J30" t="s">
        <v>2897</v>
      </c>
      <c r="P30" s="64"/>
    </row>
    <row r="31" spans="2:17" x14ac:dyDescent="0.25">
      <c r="B31" s="43" t="s">
        <v>2898</v>
      </c>
      <c r="H31" s="43" t="s">
        <v>2894</v>
      </c>
      <c r="J31" t="s">
        <v>2899</v>
      </c>
      <c r="P31" s="64"/>
    </row>
    <row r="32" spans="2:17" x14ac:dyDescent="0.25">
      <c r="B32" s="43" t="s">
        <v>2900</v>
      </c>
      <c r="H32" s="43" t="s">
        <v>2896</v>
      </c>
      <c r="J32" t="s">
        <v>2901</v>
      </c>
      <c r="P32" s="64"/>
    </row>
    <row r="33" spans="2:16" x14ac:dyDescent="0.25">
      <c r="B33" s="43" t="s">
        <v>2902</v>
      </c>
      <c r="H33" s="43" t="s">
        <v>2898</v>
      </c>
      <c r="J33" t="s">
        <v>2903</v>
      </c>
      <c r="P33" s="64"/>
    </row>
    <row r="34" spans="2:16" x14ac:dyDescent="0.25">
      <c r="B34" s="43" t="s">
        <v>2904</v>
      </c>
      <c r="H34" s="43" t="s">
        <v>2900</v>
      </c>
      <c r="J34" t="s">
        <v>2905</v>
      </c>
      <c r="P34" s="64"/>
    </row>
    <row r="35" spans="2:16" x14ac:dyDescent="0.25">
      <c r="B35" s="43" t="s">
        <v>2906</v>
      </c>
      <c r="H35" s="43" t="s">
        <v>2902</v>
      </c>
      <c r="J35" t="s">
        <v>2907</v>
      </c>
      <c r="P35" s="64"/>
    </row>
    <row r="36" spans="2:16" x14ac:dyDescent="0.25">
      <c r="B36" s="43" t="s">
        <v>2908</v>
      </c>
      <c r="H36" s="43" t="s">
        <v>2904</v>
      </c>
      <c r="J36" t="s">
        <v>2909</v>
      </c>
      <c r="P36" s="64"/>
    </row>
    <row r="37" spans="2:16" x14ac:dyDescent="0.25">
      <c r="B37" s="43" t="s">
        <v>2910</v>
      </c>
      <c r="H37" s="43" t="s">
        <v>2906</v>
      </c>
      <c r="J37" t="s">
        <v>2911</v>
      </c>
      <c r="P37" s="64"/>
    </row>
    <row r="38" spans="2:16" x14ac:dyDescent="0.25">
      <c r="B38" s="43" t="s">
        <v>2912</v>
      </c>
      <c r="H38" s="43" t="s">
        <v>2908</v>
      </c>
      <c r="J38" t="s">
        <v>2913</v>
      </c>
      <c r="P38" s="64"/>
    </row>
    <row r="39" spans="2:16" x14ac:dyDescent="0.25">
      <c r="B39" s="43" t="s">
        <v>2914</v>
      </c>
      <c r="H39" s="43" t="s">
        <v>2910</v>
      </c>
      <c r="J39" t="s">
        <v>2915</v>
      </c>
      <c r="P39" s="64"/>
    </row>
    <row r="40" spans="2:16" x14ac:dyDescent="0.25">
      <c r="B40" s="43" t="s">
        <v>2916</v>
      </c>
      <c r="H40" s="43" t="s">
        <v>2912</v>
      </c>
      <c r="J40" t="s">
        <v>2912</v>
      </c>
      <c r="P40" s="64"/>
    </row>
    <row r="41" spans="2:16" x14ac:dyDescent="0.25">
      <c r="B41" s="43" t="s">
        <v>2917</v>
      </c>
      <c r="H41" s="43" t="s">
        <v>2914</v>
      </c>
      <c r="J41" t="s">
        <v>2914</v>
      </c>
      <c r="P41" s="64"/>
    </row>
    <row r="42" spans="2:16" x14ac:dyDescent="0.25">
      <c r="H42" s="43" t="s">
        <v>2916</v>
      </c>
      <c r="J42" t="s">
        <v>2916</v>
      </c>
      <c r="P42" s="64"/>
    </row>
    <row r="43" spans="2:16" x14ac:dyDescent="0.25">
      <c r="H43" s="43" t="s">
        <v>2917</v>
      </c>
      <c r="J43" t="s">
        <v>2917</v>
      </c>
      <c r="L43" t="s">
        <v>4601</v>
      </c>
      <c r="P43" s="64"/>
    </row>
    <row r="44" spans="2:16" x14ac:dyDescent="0.25">
      <c r="P44" s="64"/>
    </row>
    <row r="45" spans="2:16" x14ac:dyDescent="0.25">
      <c r="B45" s="48" t="s">
        <v>2769</v>
      </c>
      <c r="C45" s="48">
        <v>3</v>
      </c>
      <c r="D45" s="48" t="s">
        <v>2918</v>
      </c>
      <c r="E45" s="48"/>
      <c r="F45" s="48" t="s">
        <v>2919</v>
      </c>
      <c r="G45" s="48" t="s">
        <v>2920</v>
      </c>
    </row>
    <row r="47" spans="2:16" x14ac:dyDescent="0.25">
      <c r="C47" s="20">
        <v>4</v>
      </c>
      <c r="D47" s="20" t="s">
        <v>2921</v>
      </c>
      <c r="E47" s="20"/>
      <c r="F47" s="20" t="s">
        <v>2922</v>
      </c>
      <c r="G47" s="20" t="s">
        <v>2923</v>
      </c>
    </row>
    <row r="49" spans="2:12" x14ac:dyDescent="0.25">
      <c r="B49" s="63" t="s">
        <v>2924</v>
      </c>
      <c r="C49" s="63">
        <v>5</v>
      </c>
      <c r="D49" s="63" t="s">
        <v>2925</v>
      </c>
      <c r="E49" s="63"/>
      <c r="F49" s="63" t="s">
        <v>2926</v>
      </c>
      <c r="G49" s="63" t="s">
        <v>2927</v>
      </c>
      <c r="H49" s="12"/>
      <c r="I49" s="12"/>
      <c r="L49" s="24" t="s">
        <v>900</v>
      </c>
    </row>
    <row r="50" spans="2:12" x14ac:dyDescent="0.25">
      <c r="B50" s="63" t="s">
        <v>2928</v>
      </c>
      <c r="G50" s="63" t="s">
        <v>2929</v>
      </c>
      <c r="L50" s="63" t="s">
        <v>2930</v>
      </c>
    </row>
    <row r="51" spans="2:12" x14ac:dyDescent="0.25">
      <c r="B51" s="63" t="s">
        <v>2301</v>
      </c>
      <c r="G51" s="63" t="s">
        <v>2931</v>
      </c>
      <c r="L51" s="63" t="s">
        <v>2932</v>
      </c>
    </row>
    <row r="52" spans="2:12" x14ac:dyDescent="0.25">
      <c r="B52" s="63" t="s">
        <v>1949</v>
      </c>
      <c r="L52" s="63" t="s">
        <v>2933</v>
      </c>
    </row>
    <row r="53" spans="2:12" x14ac:dyDescent="0.25">
      <c r="B53" s="63" t="s">
        <v>1951</v>
      </c>
      <c r="L53" s="63" t="s">
        <v>1949</v>
      </c>
    </row>
    <row r="54" spans="2:12" x14ac:dyDescent="0.25">
      <c r="B54" s="63" t="s">
        <v>2010</v>
      </c>
      <c r="L54" s="63" t="s">
        <v>1951</v>
      </c>
    </row>
    <row r="55" spans="2:12" x14ac:dyDescent="0.25">
      <c r="B55" s="63" t="s">
        <v>2934</v>
      </c>
      <c r="L55" s="63" t="s">
        <v>2935</v>
      </c>
    </row>
    <row r="56" spans="2:12" x14ac:dyDescent="0.25">
      <c r="B56" s="63" t="s">
        <v>2936</v>
      </c>
      <c r="L56" s="63" t="s">
        <v>2934</v>
      </c>
    </row>
    <row r="57" spans="2:12" x14ac:dyDescent="0.25">
      <c r="B57" s="63" t="s">
        <v>2937</v>
      </c>
      <c r="L57" s="63" t="s">
        <v>2936</v>
      </c>
    </row>
    <row r="58" spans="2:12" x14ac:dyDescent="0.25">
      <c r="B58" s="63" t="s">
        <v>2938</v>
      </c>
      <c r="L58" s="63" t="s">
        <v>2939</v>
      </c>
    </row>
    <row r="59" spans="2:12" x14ac:dyDescent="0.25">
      <c r="L59" s="63" t="s">
        <v>2938</v>
      </c>
    </row>
    <row r="63" spans="2:12" x14ac:dyDescent="0.25">
      <c r="C63" s="20">
        <v>6</v>
      </c>
      <c r="D63" s="20" t="s">
        <v>2940</v>
      </c>
      <c r="E63" s="20"/>
      <c r="F63" s="20" t="s">
        <v>2941</v>
      </c>
      <c r="G63" s="20" t="s">
        <v>2942</v>
      </c>
    </row>
    <row r="65" spans="2:21" x14ac:dyDescent="0.25">
      <c r="B65" s="25" t="s">
        <v>2943</v>
      </c>
      <c r="C65" s="25">
        <v>7</v>
      </c>
      <c r="D65" s="25" t="s">
        <v>2944</v>
      </c>
      <c r="E65" s="25"/>
      <c r="F65" t="s">
        <v>2945</v>
      </c>
      <c r="G65" s="25" t="s">
        <v>2946</v>
      </c>
      <c r="M65" s="24" t="s">
        <v>900</v>
      </c>
      <c r="U65" s="25" t="s">
        <v>2947</v>
      </c>
    </row>
    <row r="66" spans="2:21" x14ac:dyDescent="0.25">
      <c r="B66" s="25" t="s">
        <v>1947</v>
      </c>
      <c r="G66" s="25" t="s">
        <v>2948</v>
      </c>
      <c r="M66" s="25" t="s">
        <v>2943</v>
      </c>
    </row>
    <row r="67" spans="2:21" x14ac:dyDescent="0.25">
      <c r="B67" s="25" t="s">
        <v>2313</v>
      </c>
      <c r="G67" s="25" t="s">
        <v>2949</v>
      </c>
      <c r="M67" s="25" t="s">
        <v>1947</v>
      </c>
    </row>
    <row r="68" spans="2:21" x14ac:dyDescent="0.25">
      <c r="B68" s="25" t="s">
        <v>2950</v>
      </c>
      <c r="M68" s="25" t="s">
        <v>2313</v>
      </c>
    </row>
    <row r="69" spans="2:21" x14ac:dyDescent="0.25">
      <c r="B69" s="25" t="s">
        <v>2951</v>
      </c>
      <c r="M69" s="25" t="s">
        <v>2950</v>
      </c>
    </row>
    <row r="70" spans="2:21" x14ac:dyDescent="0.25">
      <c r="B70" s="25" t="s">
        <v>2930</v>
      </c>
      <c r="M70" s="25" t="s">
        <v>2952</v>
      </c>
    </row>
    <row r="71" spans="2:21" x14ac:dyDescent="0.25">
      <c r="B71" s="25" t="s">
        <v>2953</v>
      </c>
      <c r="M71" s="25" t="s">
        <v>2930</v>
      </c>
    </row>
    <row r="72" spans="2:21" x14ac:dyDescent="0.25">
      <c r="M72" s="25" t="s">
        <v>2953</v>
      </c>
    </row>
    <row r="73" spans="2:21" x14ac:dyDescent="0.25">
      <c r="P73" t="s">
        <v>2954</v>
      </c>
    </row>
    <row r="74" spans="2:21" x14ac:dyDescent="0.25">
      <c r="P74" t="s">
        <v>2955</v>
      </c>
    </row>
    <row r="75" spans="2:21" x14ac:dyDescent="0.25">
      <c r="C75" s="20">
        <v>8</v>
      </c>
      <c r="D75" s="20" t="s">
        <v>2956</v>
      </c>
      <c r="E75" s="20"/>
      <c r="F75" s="20" t="s">
        <v>2957</v>
      </c>
      <c r="G75" s="20" t="s">
        <v>2958</v>
      </c>
    </row>
    <row r="78" spans="2:21" x14ac:dyDescent="0.25">
      <c r="B78" s="37" t="s">
        <v>1966</v>
      </c>
      <c r="C78" s="37">
        <v>9</v>
      </c>
      <c r="D78" s="37" t="s">
        <v>2959</v>
      </c>
      <c r="E78" s="37"/>
      <c r="F78" s="37" t="s">
        <v>2960</v>
      </c>
      <c r="G78" s="37" t="s">
        <v>2881</v>
      </c>
    </row>
    <row r="79" spans="2:21" x14ac:dyDescent="0.25">
      <c r="B79" s="37" t="s">
        <v>2879</v>
      </c>
      <c r="C79" s="37">
        <v>10</v>
      </c>
      <c r="D79" s="37" t="s">
        <v>2961</v>
      </c>
      <c r="E79" s="37"/>
      <c r="F79" s="37" t="s">
        <v>2962</v>
      </c>
      <c r="G79" s="37" t="s">
        <v>2880</v>
      </c>
    </row>
  </sheetData>
  <hyperlinks>
    <hyperlink ref="A1" location="contents!A1" display="Contents" xr:uid="{00000000-0004-0000-1600-000000000000}"/>
  </hyperlinks>
  <pageMargins left="0.7" right="0.7" top="0.75" bottom="0.75" header="0.511811023622047" footer="0.511811023622047"/>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13A8-6D59-46D9-B74D-925022F8954D}">
  <dimension ref="A1:W130"/>
  <sheetViews>
    <sheetView topLeftCell="A61" workbookViewId="0">
      <selection activeCell="Q95" sqref="A95:Q102"/>
    </sheetView>
  </sheetViews>
  <sheetFormatPr defaultRowHeight="15" x14ac:dyDescent="0.25"/>
  <cols>
    <col min="1" max="1" width="50.5703125" customWidth="1"/>
    <col min="2" max="2" width="28.85546875" customWidth="1"/>
    <col min="3" max="3" width="21.42578125" customWidth="1"/>
    <col min="4" max="4" width="37.42578125" customWidth="1"/>
    <col min="5" max="5" width="23.85546875" customWidth="1"/>
    <col min="6" max="6" width="48.140625" customWidth="1"/>
    <col min="7" max="7" width="57.85546875" customWidth="1"/>
    <col min="8" max="8" width="28.42578125" customWidth="1"/>
    <col min="9" max="9" width="24.140625" customWidth="1"/>
    <col min="10" max="10" width="26" customWidth="1"/>
    <col min="11" max="11" width="19.5703125" customWidth="1"/>
    <col min="12" max="12" width="24" customWidth="1"/>
    <col min="13" max="13" width="19.7109375" customWidth="1"/>
    <col min="14" max="14" width="18.42578125" customWidth="1"/>
    <col min="15" max="15" width="17.7109375" customWidth="1"/>
    <col min="16" max="18" width="28.140625" customWidth="1"/>
    <col min="19" max="19" width="30.42578125" customWidth="1"/>
  </cols>
  <sheetData>
    <row r="1" spans="1:19" x14ac:dyDescent="0.25">
      <c r="A1" s="2" t="s">
        <v>0</v>
      </c>
    </row>
    <row r="2" spans="1:19" x14ac:dyDescent="0.25">
      <c r="A2" s="81" t="s">
        <v>4670</v>
      </c>
    </row>
    <row r="3" spans="1:19" x14ac:dyDescent="0.25">
      <c r="A3" t="s">
        <v>1295</v>
      </c>
      <c r="B3" s="1" t="s">
        <v>884</v>
      </c>
      <c r="C3" s="1" t="s">
        <v>885</v>
      </c>
      <c r="D3" s="1" t="s">
        <v>886</v>
      </c>
      <c r="E3" s="1" t="s">
        <v>887</v>
      </c>
      <c r="F3" s="1" t="s">
        <v>888</v>
      </c>
      <c r="G3" s="1" t="s">
        <v>889</v>
      </c>
      <c r="H3" s="1" t="s">
        <v>2851</v>
      </c>
      <c r="I3" s="1" t="s">
        <v>2852</v>
      </c>
      <c r="J3" s="1" t="s">
        <v>2853</v>
      </c>
      <c r="K3" s="1" t="s">
        <v>893</v>
      </c>
      <c r="L3" s="1" t="s">
        <v>4710</v>
      </c>
      <c r="M3" s="1" t="s">
        <v>4711</v>
      </c>
      <c r="N3" s="1" t="s">
        <v>4736</v>
      </c>
      <c r="O3" s="1" t="s">
        <v>2855</v>
      </c>
      <c r="P3" s="1" t="s">
        <v>4765</v>
      </c>
      <c r="Q3" s="1" t="s">
        <v>5159</v>
      </c>
      <c r="R3" s="1" t="s">
        <v>4766</v>
      </c>
      <c r="S3" s="1" t="s">
        <v>4821</v>
      </c>
    </row>
    <row r="4" spans="1:19" x14ac:dyDescent="0.25">
      <c r="B4" s="1"/>
      <c r="C4" s="1"/>
      <c r="D4" s="1"/>
      <c r="E4" s="1"/>
      <c r="F4" s="1"/>
      <c r="G4" s="1"/>
      <c r="H4" s="1"/>
      <c r="I4" s="1"/>
      <c r="J4" s="1"/>
      <c r="K4" s="1"/>
      <c r="L4" s="1"/>
      <c r="M4" s="1"/>
      <c r="N4" s="1"/>
      <c r="P4" s="1"/>
      <c r="Q4" s="1"/>
    </row>
    <row r="5" spans="1:19" x14ac:dyDescent="0.25">
      <c r="A5" s="95" t="s">
        <v>4690</v>
      </c>
      <c r="B5" s="95" t="s">
        <v>4671</v>
      </c>
      <c r="C5" s="95">
        <v>0</v>
      </c>
      <c r="D5" s="95" t="s">
        <v>4603</v>
      </c>
      <c r="E5" s="95"/>
      <c r="F5" s="95" t="s">
        <v>4602</v>
      </c>
      <c r="G5" s="96" t="s">
        <v>4604</v>
      </c>
    </row>
    <row r="7" spans="1:19" x14ac:dyDescent="0.25">
      <c r="A7" s="97" t="s">
        <v>4691</v>
      </c>
      <c r="B7" s="97"/>
      <c r="C7" s="97">
        <v>1</v>
      </c>
      <c r="D7" s="97" t="s">
        <v>2876</v>
      </c>
      <c r="E7" s="97"/>
      <c r="F7" s="97" t="s">
        <v>4605</v>
      </c>
      <c r="G7" s="97" t="s">
        <v>4606</v>
      </c>
      <c r="H7" s="100" t="s">
        <v>900</v>
      </c>
      <c r="I7" s="100" t="s">
        <v>900</v>
      </c>
      <c r="J7" s="100" t="s">
        <v>900</v>
      </c>
    </row>
    <row r="8" spans="1:19" x14ac:dyDescent="0.25">
      <c r="B8" s="97" t="s">
        <v>2875</v>
      </c>
      <c r="G8" s="97" t="s">
        <v>4607</v>
      </c>
      <c r="H8" s="97" t="s">
        <v>2875</v>
      </c>
      <c r="J8" s="97" t="s">
        <v>2882</v>
      </c>
    </row>
    <row r="9" spans="1:19" x14ac:dyDescent="0.25">
      <c r="B9" s="97" t="s">
        <v>4672</v>
      </c>
      <c r="G9" s="97"/>
      <c r="H9" s="97" t="s">
        <v>4672</v>
      </c>
      <c r="J9" s="97" t="s">
        <v>4694</v>
      </c>
    </row>
    <row r="10" spans="1:19" x14ac:dyDescent="0.25">
      <c r="B10" s="97" t="s">
        <v>4673</v>
      </c>
      <c r="G10" s="97"/>
      <c r="H10" s="97" t="s">
        <v>4673</v>
      </c>
      <c r="J10" s="97" t="s">
        <v>4695</v>
      </c>
    </row>
    <row r="11" spans="1:19" x14ac:dyDescent="0.25">
      <c r="B11" s="97" t="s">
        <v>4674</v>
      </c>
      <c r="G11" s="97"/>
      <c r="H11" s="97" t="s">
        <v>4674</v>
      </c>
      <c r="J11" s="97" t="s">
        <v>4696</v>
      </c>
    </row>
    <row r="12" spans="1:19" x14ac:dyDescent="0.25">
      <c r="B12" s="97" t="s">
        <v>4777</v>
      </c>
      <c r="G12" s="97"/>
      <c r="H12" s="97" t="s">
        <v>4777</v>
      </c>
      <c r="J12" s="97" t="s">
        <v>4777</v>
      </c>
    </row>
    <row r="13" spans="1:19" x14ac:dyDescent="0.25">
      <c r="B13" s="97" t="s">
        <v>4675</v>
      </c>
      <c r="G13" s="97"/>
      <c r="H13" s="97" t="s">
        <v>4675</v>
      </c>
      <c r="J13" s="97" t="s">
        <v>4697</v>
      </c>
    </row>
    <row r="14" spans="1:19" x14ac:dyDescent="0.25">
      <c r="B14" s="97"/>
      <c r="G14" s="97"/>
      <c r="H14" s="80" t="s">
        <v>2769</v>
      </c>
      <c r="I14" s="80" t="s">
        <v>2769</v>
      </c>
      <c r="J14" s="80" t="s">
        <v>2769</v>
      </c>
    </row>
    <row r="15" spans="1:19" x14ac:dyDescent="0.25">
      <c r="B15" s="97" t="s">
        <v>4676</v>
      </c>
      <c r="G15" s="97"/>
      <c r="H15" s="97" t="s">
        <v>4676</v>
      </c>
      <c r="J15" s="97" t="s">
        <v>4698</v>
      </c>
    </row>
    <row r="16" spans="1:19" x14ac:dyDescent="0.25">
      <c r="B16" s="97" t="s">
        <v>4677</v>
      </c>
      <c r="G16" s="97"/>
      <c r="H16" s="97" t="s">
        <v>4677</v>
      </c>
      <c r="J16" s="97" t="s">
        <v>4699</v>
      </c>
    </row>
    <row r="17" spans="1:10" x14ac:dyDescent="0.25">
      <c r="B17" s="97" t="s">
        <v>4678</v>
      </c>
      <c r="G17" s="97"/>
      <c r="H17" s="97" t="s">
        <v>4678</v>
      </c>
      <c r="J17" s="97" t="s">
        <v>4700</v>
      </c>
    </row>
    <row r="18" spans="1:10" x14ac:dyDescent="0.25">
      <c r="B18" s="97" t="s">
        <v>4679</v>
      </c>
      <c r="G18" s="97"/>
      <c r="H18" s="97" t="s">
        <v>4679</v>
      </c>
      <c r="J18" s="97" t="s">
        <v>4701</v>
      </c>
    </row>
    <row r="19" spans="1:10" x14ac:dyDescent="0.25">
      <c r="B19" s="97" t="s">
        <v>4680</v>
      </c>
      <c r="G19" s="97"/>
      <c r="H19" s="97" t="s">
        <v>4680</v>
      </c>
      <c r="J19" s="97" t="s">
        <v>4702</v>
      </c>
    </row>
    <row r="20" spans="1:10" x14ac:dyDescent="0.25">
      <c r="B20" s="97" t="s">
        <v>4681</v>
      </c>
      <c r="G20" s="97"/>
      <c r="H20" s="97" t="s">
        <v>4681</v>
      </c>
      <c r="J20" s="97" t="s">
        <v>4703</v>
      </c>
    </row>
    <row r="21" spans="1:10" x14ac:dyDescent="0.25">
      <c r="B21" s="97" t="s">
        <v>4682</v>
      </c>
      <c r="G21" s="97"/>
      <c r="H21" s="97" t="s">
        <v>4682</v>
      </c>
      <c r="J21" s="97" t="s">
        <v>4704</v>
      </c>
    </row>
    <row r="22" spans="1:10" x14ac:dyDescent="0.25">
      <c r="B22" s="97" t="s">
        <v>4683</v>
      </c>
      <c r="G22" s="97"/>
      <c r="H22" s="97" t="s">
        <v>4683</v>
      </c>
      <c r="J22" s="97" t="s">
        <v>4705</v>
      </c>
    </row>
    <row r="23" spans="1:10" x14ac:dyDescent="0.25">
      <c r="B23" s="97" t="s">
        <v>4684</v>
      </c>
      <c r="G23" s="97"/>
      <c r="H23" s="97" t="s">
        <v>4684</v>
      </c>
      <c r="J23" s="97" t="s">
        <v>4706</v>
      </c>
    </row>
    <row r="24" spans="1:10" x14ac:dyDescent="0.25">
      <c r="B24" s="97" t="s">
        <v>4685</v>
      </c>
      <c r="G24" s="97"/>
      <c r="H24" s="97" t="s">
        <v>4685</v>
      </c>
      <c r="J24" s="97" t="s">
        <v>4707</v>
      </c>
    </row>
    <row r="25" spans="1:10" x14ac:dyDescent="0.25">
      <c r="B25" s="97" t="s">
        <v>4686</v>
      </c>
      <c r="G25" s="97"/>
      <c r="H25" s="97" t="s">
        <v>4686</v>
      </c>
      <c r="J25" s="97" t="s">
        <v>4708</v>
      </c>
    </row>
    <row r="26" spans="1:10" x14ac:dyDescent="0.25">
      <c r="B26" s="97" t="s">
        <v>4687</v>
      </c>
      <c r="G26" s="97"/>
      <c r="H26" s="97" t="s">
        <v>4687</v>
      </c>
      <c r="J26" s="97" t="s">
        <v>4709</v>
      </c>
    </row>
    <row r="27" spans="1:10" x14ac:dyDescent="0.25">
      <c r="G27" s="97"/>
      <c r="H27" s="80" t="s">
        <v>4671</v>
      </c>
      <c r="I27" s="80" t="s">
        <v>4671</v>
      </c>
      <c r="J27" s="80" t="s">
        <v>4671</v>
      </c>
    </row>
    <row r="29" spans="1:10" x14ac:dyDescent="0.25">
      <c r="A29" s="98" t="s">
        <v>4688</v>
      </c>
      <c r="B29" s="98"/>
      <c r="C29" s="98">
        <v>2</v>
      </c>
      <c r="D29" s="98" t="s">
        <v>4609</v>
      </c>
      <c r="E29" s="98"/>
      <c r="F29" s="98" t="s">
        <v>4608</v>
      </c>
      <c r="G29" s="98" t="s">
        <v>4610</v>
      </c>
    </row>
    <row r="31" spans="1:10" x14ac:dyDescent="0.25">
      <c r="A31" s="98" t="s">
        <v>4689</v>
      </c>
      <c r="B31" s="98"/>
      <c r="C31" s="98">
        <v>3</v>
      </c>
      <c r="D31" s="98" t="s">
        <v>4612</v>
      </c>
      <c r="E31" s="98"/>
      <c r="F31" s="98" t="s">
        <v>4611</v>
      </c>
      <c r="G31" s="98" t="s">
        <v>4613</v>
      </c>
    </row>
    <row r="32" spans="1:10" x14ac:dyDescent="0.25">
      <c r="G32" s="98" t="s">
        <v>4614</v>
      </c>
    </row>
    <row r="33" spans="1:17" x14ac:dyDescent="0.25">
      <c r="G33" s="98" t="s">
        <v>4615</v>
      </c>
    </row>
    <row r="35" spans="1:17" x14ac:dyDescent="0.25">
      <c r="A35" s="83" t="s">
        <v>4692</v>
      </c>
      <c r="B35" s="83" t="s">
        <v>2769</v>
      </c>
      <c r="C35" s="83">
        <v>4</v>
      </c>
      <c r="D35" s="83" t="s">
        <v>4617</v>
      </c>
      <c r="E35" s="83"/>
      <c r="F35" s="83" t="s">
        <v>4616</v>
      </c>
      <c r="G35" s="83" t="s">
        <v>4618</v>
      </c>
    </row>
    <row r="37" spans="1:17" x14ac:dyDescent="0.25">
      <c r="A37" s="98" t="s">
        <v>4693</v>
      </c>
      <c r="B37" s="98"/>
      <c r="C37" s="98">
        <v>5</v>
      </c>
      <c r="D37" s="98" t="s">
        <v>4621</v>
      </c>
      <c r="E37" s="98"/>
      <c r="F37" s="98" t="s">
        <v>4622</v>
      </c>
      <c r="G37" s="98" t="s">
        <v>4619</v>
      </c>
    </row>
    <row r="38" spans="1:17" x14ac:dyDescent="0.25">
      <c r="G38" s="98" t="s">
        <v>4620</v>
      </c>
    </row>
    <row r="40" spans="1:17" x14ac:dyDescent="0.25">
      <c r="A40" s="98" t="s">
        <v>4713</v>
      </c>
      <c r="B40" s="98"/>
      <c r="C40" s="98">
        <v>6</v>
      </c>
      <c r="D40" s="98" t="s">
        <v>4626</v>
      </c>
      <c r="E40" s="98"/>
      <c r="F40" s="98" t="s">
        <v>4623</v>
      </c>
      <c r="G40" s="98" t="s">
        <v>4629</v>
      </c>
    </row>
    <row r="42" spans="1:17" x14ac:dyDescent="0.25">
      <c r="A42" s="98" t="s">
        <v>4712</v>
      </c>
      <c r="B42" s="98"/>
      <c r="C42" s="98">
        <v>7</v>
      </c>
      <c r="D42" s="98" t="s">
        <v>4627</v>
      </c>
      <c r="E42" s="98"/>
      <c r="F42" s="98" t="s">
        <v>4624</v>
      </c>
      <c r="G42" s="98" t="s">
        <v>4630</v>
      </c>
    </row>
    <row r="44" spans="1:17" x14ac:dyDescent="0.25">
      <c r="A44" s="98" t="s">
        <v>4714</v>
      </c>
      <c r="B44" s="98"/>
      <c r="C44" s="98">
        <v>8</v>
      </c>
      <c r="D44" s="98" t="s">
        <v>4628</v>
      </c>
      <c r="E44" s="98"/>
      <c r="F44" s="98" t="s">
        <v>4625</v>
      </c>
      <c r="G44" s="98" t="s">
        <v>4631</v>
      </c>
    </row>
    <row r="45" spans="1:17" s="86" customFormat="1" x14ac:dyDescent="0.25"/>
    <row r="46" spans="1:17" s="86" customFormat="1" x14ac:dyDescent="0.25">
      <c r="B46" s="91"/>
      <c r="P46"/>
      <c r="Q46"/>
    </row>
    <row r="47" spans="1:17" s="86" customFormat="1" x14ac:dyDescent="0.25">
      <c r="A47" s="97" t="s">
        <v>4731</v>
      </c>
      <c r="B47" s="97"/>
      <c r="C47" s="97"/>
      <c r="D47" s="97"/>
      <c r="E47" s="97"/>
      <c r="F47" s="97"/>
      <c r="G47" s="97"/>
      <c r="L47"/>
      <c r="M47" s="100" t="s">
        <v>900</v>
      </c>
      <c r="P47"/>
      <c r="Q47"/>
    </row>
    <row r="48" spans="1:17" s="86" customFormat="1" x14ac:dyDescent="0.25">
      <c r="B48" s="97" t="s">
        <v>4715</v>
      </c>
      <c r="G48" s="97" t="s">
        <v>4767</v>
      </c>
      <c r="L48" s="97" t="s">
        <v>4715</v>
      </c>
      <c r="M48" s="97" t="s">
        <v>4715</v>
      </c>
      <c r="P48"/>
      <c r="Q48"/>
    </row>
    <row r="49" spans="1:17" s="86" customFormat="1" x14ac:dyDescent="0.25">
      <c r="B49" s="97" t="s">
        <v>4668</v>
      </c>
      <c r="G49" s="97" t="s">
        <v>4768</v>
      </c>
      <c r="L49" s="97" t="s">
        <v>4668</v>
      </c>
      <c r="M49" s="97" t="s">
        <v>4668</v>
      </c>
      <c r="P49"/>
      <c r="Q49"/>
    </row>
    <row r="50" spans="1:17" s="86" customFormat="1" x14ac:dyDescent="0.25">
      <c r="B50" s="97" t="s">
        <v>4716</v>
      </c>
      <c r="G50" s="97" t="s">
        <v>4770</v>
      </c>
      <c r="L50" s="97" t="s">
        <v>4716</v>
      </c>
      <c r="M50" s="97" t="s">
        <v>4723</v>
      </c>
      <c r="P50"/>
      <c r="Q50"/>
    </row>
    <row r="51" spans="1:17" s="86" customFormat="1" x14ac:dyDescent="0.25">
      <c r="B51" s="97" t="s">
        <v>4717</v>
      </c>
      <c r="G51" s="97" t="s">
        <v>4769</v>
      </c>
      <c r="L51" s="97" t="s">
        <v>4717</v>
      </c>
      <c r="M51" s="97" t="s">
        <v>4724</v>
      </c>
      <c r="P51"/>
      <c r="Q51"/>
    </row>
    <row r="52" spans="1:17" s="86" customFormat="1" x14ac:dyDescent="0.25">
      <c r="B52" s="97" t="s">
        <v>4718</v>
      </c>
      <c r="G52" s="97" t="s">
        <v>4775</v>
      </c>
      <c r="L52" s="97" t="s">
        <v>4718</v>
      </c>
      <c r="M52" s="97" t="s">
        <v>4725</v>
      </c>
      <c r="P52"/>
      <c r="Q52"/>
    </row>
    <row r="53" spans="1:17" s="86" customFormat="1" x14ac:dyDescent="0.25">
      <c r="B53" s="97" t="s">
        <v>2010</v>
      </c>
      <c r="G53" s="97" t="s">
        <v>4776</v>
      </c>
      <c r="L53" s="97" t="s">
        <v>2010</v>
      </c>
      <c r="M53" s="97" t="s">
        <v>2010</v>
      </c>
      <c r="P53"/>
      <c r="Q53"/>
    </row>
    <row r="54" spans="1:17" s="86" customFormat="1" x14ac:dyDescent="0.25">
      <c r="B54" s="97" t="s">
        <v>4719</v>
      </c>
      <c r="G54" s="97" t="s">
        <v>4772</v>
      </c>
      <c r="L54" s="97" t="s">
        <v>4719</v>
      </c>
      <c r="M54" s="97" t="s">
        <v>4726</v>
      </c>
      <c r="P54"/>
      <c r="Q54"/>
    </row>
    <row r="55" spans="1:17" s="86" customFormat="1" x14ac:dyDescent="0.25">
      <c r="B55" s="97" t="s">
        <v>4720</v>
      </c>
      <c r="G55" s="97" t="s">
        <v>4774</v>
      </c>
      <c r="L55" s="97" t="s">
        <v>4720</v>
      </c>
      <c r="M55" s="97" t="s">
        <v>4727</v>
      </c>
      <c r="P55"/>
      <c r="Q55"/>
    </row>
    <row r="56" spans="1:17" s="86" customFormat="1" x14ac:dyDescent="0.25">
      <c r="B56" s="97" t="s">
        <v>4721</v>
      </c>
      <c r="G56" s="97" t="s">
        <v>4773</v>
      </c>
      <c r="L56" s="97" t="s">
        <v>4721</v>
      </c>
      <c r="M56" s="97" t="s">
        <v>4728</v>
      </c>
      <c r="P56"/>
      <c r="Q56"/>
    </row>
    <row r="57" spans="1:17" s="86" customFormat="1" x14ac:dyDescent="0.25">
      <c r="B57" s="97" t="s">
        <v>4722</v>
      </c>
      <c r="G57" s="97" t="s">
        <v>4771</v>
      </c>
      <c r="L57" s="97" t="s">
        <v>4722</v>
      </c>
      <c r="M57" s="97" t="s">
        <v>4722</v>
      </c>
      <c r="P57"/>
      <c r="Q57"/>
    </row>
    <row r="58" spans="1:17" s="86" customFormat="1" x14ac:dyDescent="0.25"/>
    <row r="59" spans="1:17" x14ac:dyDescent="0.25">
      <c r="A59" s="98" t="s">
        <v>4729</v>
      </c>
      <c r="B59" s="98"/>
      <c r="C59" s="98">
        <v>9</v>
      </c>
      <c r="D59" s="98" t="s">
        <v>4647</v>
      </c>
      <c r="E59" s="98"/>
      <c r="F59" s="98" t="s">
        <v>4632</v>
      </c>
      <c r="G59" s="98" t="s">
        <v>4634</v>
      </c>
    </row>
    <row r="60" spans="1:17" x14ac:dyDescent="0.25">
      <c r="G60" s="98" t="s">
        <v>4633</v>
      </c>
    </row>
    <row r="62" spans="1:17" x14ac:dyDescent="0.25">
      <c r="A62" s="98"/>
      <c r="B62" s="98"/>
      <c r="C62" s="98">
        <v>10</v>
      </c>
      <c r="D62" s="98" t="s">
        <v>4637</v>
      </c>
      <c r="E62" s="98"/>
      <c r="F62" s="98" t="s">
        <v>4635</v>
      </c>
      <c r="G62" s="98"/>
    </row>
    <row r="64" spans="1:17" x14ac:dyDescent="0.25">
      <c r="A64" s="98" t="s">
        <v>4730</v>
      </c>
      <c r="B64" s="98"/>
      <c r="C64" s="98">
        <v>11</v>
      </c>
      <c r="D64" s="98" t="s">
        <v>4638</v>
      </c>
      <c r="E64" s="98"/>
      <c r="F64" s="98" t="s">
        <v>4636</v>
      </c>
      <c r="G64" s="98" t="s">
        <v>4639</v>
      </c>
    </row>
    <row r="66" spans="1:23" x14ac:dyDescent="0.25">
      <c r="A66" s="98" t="s">
        <v>4746</v>
      </c>
      <c r="B66" s="98"/>
      <c r="C66" s="98">
        <v>12</v>
      </c>
      <c r="D66" s="98" t="s">
        <v>4642</v>
      </c>
      <c r="E66" s="98"/>
      <c r="F66" s="98" t="s">
        <v>4640</v>
      </c>
      <c r="G66" s="98" t="s">
        <v>4644</v>
      </c>
    </row>
    <row r="68" spans="1:23" x14ac:dyDescent="0.25">
      <c r="A68" s="98" t="s">
        <v>4747</v>
      </c>
      <c r="B68" s="98"/>
      <c r="C68" s="98">
        <v>13</v>
      </c>
      <c r="D68" s="98" t="s">
        <v>4654</v>
      </c>
      <c r="E68" s="98"/>
      <c r="F68" s="98" t="s">
        <v>4653</v>
      </c>
      <c r="G68" s="98" t="s">
        <v>4655</v>
      </c>
    </row>
    <row r="69" spans="1:23" x14ac:dyDescent="0.25">
      <c r="A69" s="86"/>
      <c r="B69" s="86"/>
      <c r="C69" s="86"/>
      <c r="D69" s="86"/>
      <c r="E69" s="86"/>
      <c r="F69" s="86"/>
      <c r="G69" s="86"/>
    </row>
    <row r="70" spans="1:23" x14ac:dyDescent="0.25">
      <c r="A70" s="97" t="s">
        <v>4743</v>
      </c>
      <c r="B70" s="97"/>
      <c r="C70" s="97"/>
      <c r="D70" s="97"/>
      <c r="E70" s="97"/>
      <c r="F70" s="97"/>
      <c r="G70" s="97" t="s">
        <v>4745</v>
      </c>
      <c r="N70" s="91"/>
      <c r="O70" s="100" t="s">
        <v>900</v>
      </c>
    </row>
    <row r="71" spans="1:23" x14ac:dyDescent="0.25">
      <c r="A71" s="86"/>
      <c r="B71" s="97" t="s">
        <v>4733</v>
      </c>
      <c r="C71" s="86"/>
      <c r="D71" s="86"/>
      <c r="E71" s="86"/>
      <c r="F71" s="86"/>
      <c r="G71" s="97" t="s">
        <v>4744</v>
      </c>
      <c r="N71" s="97" t="s">
        <v>4733</v>
      </c>
      <c r="O71" s="97" t="s">
        <v>2943</v>
      </c>
    </row>
    <row r="72" spans="1:23" x14ac:dyDescent="0.25">
      <c r="A72" s="86"/>
      <c r="B72" s="97" t="s">
        <v>2527</v>
      </c>
      <c r="C72" s="86"/>
      <c r="D72" s="86"/>
      <c r="E72" s="86"/>
      <c r="F72" s="86"/>
      <c r="G72" s="97" t="s">
        <v>4607</v>
      </c>
      <c r="N72" s="97" t="s">
        <v>2527</v>
      </c>
      <c r="O72" s="97" t="s">
        <v>1947</v>
      </c>
    </row>
    <row r="73" spans="1:23" x14ac:dyDescent="0.25">
      <c r="A73" s="86"/>
      <c r="B73" s="97" t="s">
        <v>4734</v>
      </c>
      <c r="C73" s="86"/>
      <c r="D73" s="86"/>
      <c r="E73" s="86"/>
      <c r="F73" s="86"/>
      <c r="G73" s="86"/>
      <c r="N73" s="97" t="s">
        <v>4734</v>
      </c>
      <c r="O73" s="97" t="s">
        <v>4750</v>
      </c>
    </row>
    <row r="74" spans="1:23" x14ac:dyDescent="0.25">
      <c r="A74" s="86"/>
      <c r="B74" s="97" t="s">
        <v>4735</v>
      </c>
      <c r="C74" s="86"/>
      <c r="D74" s="86"/>
      <c r="E74" s="86"/>
      <c r="F74" s="86"/>
      <c r="G74" s="86"/>
      <c r="N74" s="97" t="s">
        <v>4735</v>
      </c>
      <c r="O74" s="97" t="s">
        <v>4751</v>
      </c>
    </row>
    <row r="75" spans="1:23" x14ac:dyDescent="0.25">
      <c r="A75" s="86"/>
      <c r="B75" s="97" t="s">
        <v>2912</v>
      </c>
      <c r="C75" s="86"/>
      <c r="D75" s="86"/>
      <c r="E75" s="86"/>
      <c r="F75" s="86"/>
      <c r="G75" s="86"/>
      <c r="N75" s="97" t="s">
        <v>2912</v>
      </c>
      <c r="O75" s="97" t="s">
        <v>2912</v>
      </c>
    </row>
    <row r="76" spans="1:23" x14ac:dyDescent="0.25">
      <c r="A76" s="86"/>
      <c r="B76" s="86"/>
      <c r="C76" s="86"/>
      <c r="D76" s="86"/>
      <c r="E76" s="86"/>
      <c r="F76" s="86"/>
      <c r="G76" s="86"/>
    </row>
    <row r="77" spans="1:23" x14ac:dyDescent="0.25">
      <c r="A77" s="98" t="s">
        <v>4748</v>
      </c>
      <c r="B77" s="98"/>
      <c r="C77" s="98">
        <v>14</v>
      </c>
      <c r="D77" s="98" t="s">
        <v>5006</v>
      </c>
      <c r="E77" s="98"/>
      <c r="F77" s="98" t="s">
        <v>5007</v>
      </c>
      <c r="G77" s="98" t="s">
        <v>5005</v>
      </c>
      <c r="W77" s="98" t="s">
        <v>5003</v>
      </c>
    </row>
    <row r="78" spans="1:23" x14ac:dyDescent="0.25">
      <c r="A78" s="98"/>
      <c r="B78" s="98"/>
      <c r="C78" s="98"/>
      <c r="D78" s="98"/>
      <c r="E78" s="98"/>
      <c r="F78" s="98"/>
      <c r="G78" s="98" t="s">
        <v>5004</v>
      </c>
      <c r="W78" s="98"/>
    </row>
    <row r="80" spans="1:23" x14ac:dyDescent="0.25">
      <c r="A80" s="97" t="s">
        <v>4749</v>
      </c>
      <c r="B80" s="97" t="s">
        <v>4668</v>
      </c>
      <c r="C80" s="97">
        <v>15</v>
      </c>
      <c r="D80" s="97" t="s">
        <v>4667</v>
      </c>
      <c r="E80" s="97"/>
      <c r="F80" s="97" t="s">
        <v>4666</v>
      </c>
      <c r="G80" s="97" t="s">
        <v>4669</v>
      </c>
      <c r="O80" s="97" t="s">
        <v>2952</v>
      </c>
    </row>
    <row r="81" spans="1:17" x14ac:dyDescent="0.25">
      <c r="A81" s="86"/>
      <c r="B81" s="86"/>
      <c r="C81" s="86"/>
      <c r="D81" s="86"/>
      <c r="E81" s="86"/>
      <c r="F81" s="86"/>
      <c r="G81" s="86"/>
    </row>
    <row r="82" spans="1:17" x14ac:dyDescent="0.25">
      <c r="A82" s="99" t="s">
        <v>4732</v>
      </c>
      <c r="B82" s="99"/>
      <c r="C82" s="99">
        <v>16</v>
      </c>
      <c r="D82" s="99" t="s">
        <v>4649</v>
      </c>
      <c r="E82" s="99"/>
      <c r="F82" s="99" t="s">
        <v>4648</v>
      </c>
      <c r="G82" s="99" t="s">
        <v>4650</v>
      </c>
      <c r="P82" s="100" t="s">
        <v>900</v>
      </c>
    </row>
    <row r="83" spans="1:17" x14ac:dyDescent="0.25">
      <c r="B83" s="99" t="s">
        <v>4733</v>
      </c>
      <c r="G83" s="99" t="s">
        <v>4651</v>
      </c>
      <c r="P83" s="99" t="s">
        <v>2943</v>
      </c>
    </row>
    <row r="84" spans="1:17" x14ac:dyDescent="0.25">
      <c r="B84" s="99" t="s">
        <v>2527</v>
      </c>
      <c r="G84" s="99" t="s">
        <v>4652</v>
      </c>
      <c r="P84" s="99" t="s">
        <v>1947</v>
      </c>
    </row>
    <row r="85" spans="1:17" x14ac:dyDescent="0.25">
      <c r="B85" s="99" t="s">
        <v>4737</v>
      </c>
      <c r="G85" s="99"/>
      <c r="P85" s="99" t="s">
        <v>4750</v>
      </c>
    </row>
    <row r="86" spans="1:17" x14ac:dyDescent="0.25">
      <c r="B86" s="99" t="s">
        <v>4738</v>
      </c>
      <c r="G86" s="99"/>
      <c r="P86" s="99" t="s">
        <v>4751</v>
      </c>
    </row>
    <row r="87" spans="1:17" x14ac:dyDescent="0.25">
      <c r="B87" s="99" t="s">
        <v>2912</v>
      </c>
      <c r="G87" s="99"/>
      <c r="P87" s="99" t="s">
        <v>2912</v>
      </c>
    </row>
    <row r="88" spans="1:17" x14ac:dyDescent="0.25">
      <c r="B88" s="99" t="s">
        <v>4739</v>
      </c>
      <c r="G88" s="99"/>
      <c r="P88" s="99" t="s">
        <v>4741</v>
      </c>
    </row>
    <row r="89" spans="1:17" x14ac:dyDescent="0.25">
      <c r="B89" s="99" t="s">
        <v>4740</v>
      </c>
      <c r="G89" s="99"/>
      <c r="P89" s="99" t="s">
        <v>4742</v>
      </c>
    </row>
    <row r="90" spans="1:17" x14ac:dyDescent="0.25">
      <c r="B90" s="99" t="s">
        <v>4716</v>
      </c>
      <c r="G90" s="99"/>
      <c r="P90" s="99" t="s">
        <v>4723</v>
      </c>
    </row>
    <row r="91" spans="1:17" s="86" customFormat="1" x14ac:dyDescent="0.25">
      <c r="Q91"/>
    </row>
    <row r="92" spans="1:17" x14ac:dyDescent="0.25">
      <c r="A92" s="98" t="s">
        <v>5145</v>
      </c>
      <c r="B92" s="98"/>
      <c r="C92" s="98">
        <v>14</v>
      </c>
      <c r="D92" s="98" t="s">
        <v>5146</v>
      </c>
      <c r="E92" s="98"/>
      <c r="F92" s="98" t="s">
        <v>5147</v>
      </c>
      <c r="G92" s="98" t="s">
        <v>5148</v>
      </c>
    </row>
    <row r="93" spans="1:17" s="86" customFormat="1" x14ac:dyDescent="0.25">
      <c r="Q93"/>
    </row>
    <row r="94" spans="1:17" s="86" customFormat="1" x14ac:dyDescent="0.25">
      <c r="A94" s="97" t="s">
        <v>5149</v>
      </c>
      <c r="B94" s="97"/>
      <c r="C94" s="97"/>
      <c r="D94" s="97"/>
      <c r="E94" s="97"/>
      <c r="F94" s="97"/>
      <c r="G94" s="97" t="s">
        <v>5158</v>
      </c>
    </row>
    <row r="95" spans="1:17" s="86" customFormat="1" x14ac:dyDescent="0.25">
      <c r="B95" s="97" t="s">
        <v>4733</v>
      </c>
      <c r="G95" s="97" t="s">
        <v>5150</v>
      </c>
      <c r="Q95" s="97" t="s">
        <v>4733</v>
      </c>
    </row>
    <row r="96" spans="1:17" s="86" customFormat="1" x14ac:dyDescent="0.25">
      <c r="B96" s="97" t="s">
        <v>2527</v>
      </c>
      <c r="G96" s="97" t="s">
        <v>5151</v>
      </c>
      <c r="Q96" s="97" t="s">
        <v>2527</v>
      </c>
    </row>
    <row r="97" spans="1:18" s="86" customFormat="1" x14ac:dyDescent="0.25">
      <c r="B97" s="97" t="s">
        <v>4737</v>
      </c>
      <c r="G97" s="97" t="s">
        <v>5152</v>
      </c>
      <c r="Q97" s="97" t="s">
        <v>4737</v>
      </c>
    </row>
    <row r="98" spans="1:18" s="86" customFormat="1" x14ac:dyDescent="0.25">
      <c r="B98" s="97" t="s">
        <v>2768</v>
      </c>
      <c r="G98" s="97" t="s">
        <v>5153</v>
      </c>
      <c r="Q98" s="97" t="s">
        <v>2768</v>
      </c>
    </row>
    <row r="99" spans="1:18" s="86" customFormat="1" x14ac:dyDescent="0.25">
      <c r="B99" s="97" t="s">
        <v>2912</v>
      </c>
      <c r="G99" s="97" t="s">
        <v>5154</v>
      </c>
      <c r="Q99" s="97" t="s">
        <v>2912</v>
      </c>
    </row>
    <row r="100" spans="1:18" s="86" customFormat="1" x14ac:dyDescent="0.25">
      <c r="B100" s="97" t="s">
        <v>4739</v>
      </c>
      <c r="G100" s="97" t="s">
        <v>5155</v>
      </c>
      <c r="Q100" s="97" t="s">
        <v>4739</v>
      </c>
    </row>
    <row r="101" spans="1:18" s="86" customFormat="1" x14ac:dyDescent="0.25">
      <c r="B101" s="97" t="s">
        <v>4740</v>
      </c>
      <c r="G101" s="97" t="s">
        <v>5156</v>
      </c>
      <c r="Q101" s="97" t="s">
        <v>4740</v>
      </c>
    </row>
    <row r="102" spans="1:18" s="86" customFormat="1" x14ac:dyDescent="0.25">
      <c r="B102" s="97" t="s">
        <v>4716</v>
      </c>
      <c r="G102" s="97" t="s">
        <v>5157</v>
      </c>
      <c r="Q102" s="97" t="s">
        <v>4716</v>
      </c>
    </row>
    <row r="103" spans="1:18" x14ac:dyDescent="0.25">
      <c r="A103" s="86"/>
      <c r="B103" s="86"/>
      <c r="C103" s="86"/>
      <c r="D103" s="86"/>
      <c r="E103" s="86"/>
      <c r="F103" s="86"/>
      <c r="G103" s="86"/>
    </row>
    <row r="104" spans="1:18" x14ac:dyDescent="0.25">
      <c r="A104" s="98" t="s">
        <v>4752</v>
      </c>
      <c r="B104" s="98"/>
      <c r="C104" s="98">
        <v>17</v>
      </c>
      <c r="D104" s="98" t="s">
        <v>4643</v>
      </c>
      <c r="E104" s="98"/>
      <c r="F104" s="98" t="s">
        <v>4641</v>
      </c>
      <c r="G104" s="98" t="s">
        <v>4645</v>
      </c>
    </row>
    <row r="105" spans="1:18" x14ac:dyDescent="0.25">
      <c r="G105" s="98" t="s">
        <v>4646</v>
      </c>
    </row>
    <row r="107" spans="1:18" x14ac:dyDescent="0.25">
      <c r="A107" s="98" t="s">
        <v>4758</v>
      </c>
      <c r="B107" s="98"/>
      <c r="C107" s="98">
        <v>18</v>
      </c>
      <c r="D107" s="98" t="s">
        <v>4658</v>
      </c>
      <c r="E107" s="98"/>
      <c r="F107" s="98" t="s">
        <v>4656</v>
      </c>
      <c r="G107" s="98" t="s">
        <v>4660</v>
      </c>
    </row>
    <row r="111" spans="1:18" x14ac:dyDescent="0.25">
      <c r="A111" s="87" t="s">
        <v>4759</v>
      </c>
      <c r="B111" s="87"/>
      <c r="C111" s="87">
        <v>19</v>
      </c>
      <c r="D111" s="87" t="s">
        <v>4663</v>
      </c>
      <c r="E111" s="87"/>
      <c r="F111" s="87" t="s">
        <v>4662</v>
      </c>
      <c r="G111" s="87" t="s">
        <v>4664</v>
      </c>
      <c r="R111" s="100" t="s">
        <v>900</v>
      </c>
    </row>
    <row r="112" spans="1:18" x14ac:dyDescent="0.25">
      <c r="B112" s="87" t="s">
        <v>4668</v>
      </c>
      <c r="G112" s="87" t="s">
        <v>4665</v>
      </c>
      <c r="R112" s="87" t="s">
        <v>2952</v>
      </c>
    </row>
    <row r="113" spans="1:19" x14ac:dyDescent="0.25">
      <c r="B113" s="87" t="s">
        <v>4753</v>
      </c>
      <c r="R113" s="87" t="s">
        <v>2943</v>
      </c>
    </row>
    <row r="114" spans="1:19" x14ac:dyDescent="0.25">
      <c r="B114" s="87" t="s">
        <v>4717</v>
      </c>
      <c r="R114" s="87" t="s">
        <v>4724</v>
      </c>
    </row>
    <row r="115" spans="1:19" x14ac:dyDescent="0.25">
      <c r="B115" s="87" t="s">
        <v>4754</v>
      </c>
      <c r="R115" s="87" t="s">
        <v>4760</v>
      </c>
    </row>
    <row r="116" spans="1:19" x14ac:dyDescent="0.25">
      <c r="B116" s="87" t="s">
        <v>4755</v>
      </c>
      <c r="R116" s="87" t="s">
        <v>4761</v>
      </c>
    </row>
    <row r="117" spans="1:19" x14ac:dyDescent="0.25">
      <c r="B117" s="87" t="s">
        <v>4756</v>
      </c>
      <c r="R117" s="87" t="s">
        <v>4762</v>
      </c>
    </row>
    <row r="118" spans="1:19" x14ac:dyDescent="0.25">
      <c r="B118" s="87" t="s">
        <v>4757</v>
      </c>
      <c r="R118" s="87" t="s">
        <v>4763</v>
      </c>
    </row>
    <row r="120" spans="1:19" x14ac:dyDescent="0.25">
      <c r="A120" s="98" t="s">
        <v>4764</v>
      </c>
      <c r="B120" s="98"/>
      <c r="C120" s="98">
        <v>20</v>
      </c>
      <c r="D120" s="98" t="s">
        <v>4659</v>
      </c>
      <c r="E120" s="98"/>
      <c r="F120" s="98" t="s">
        <v>4657</v>
      </c>
      <c r="G120" s="98" t="s">
        <v>4661</v>
      </c>
    </row>
    <row r="122" spans="1:19" x14ac:dyDescent="0.25">
      <c r="A122" s="98" t="s">
        <v>4812</v>
      </c>
      <c r="B122" s="98"/>
      <c r="C122" s="98">
        <v>21</v>
      </c>
      <c r="D122" s="98" t="s">
        <v>4811</v>
      </c>
      <c r="E122" s="98"/>
      <c r="F122" s="98" t="s">
        <v>4810</v>
      </c>
      <c r="G122" s="98" t="s">
        <v>4813</v>
      </c>
    </row>
    <row r="124" spans="1:19" x14ac:dyDescent="0.25">
      <c r="A124" s="101" t="s">
        <v>4819</v>
      </c>
      <c r="B124" s="101"/>
      <c r="C124" s="101">
        <v>22</v>
      </c>
      <c r="D124" s="101" t="s">
        <v>4820</v>
      </c>
      <c r="E124" s="101"/>
      <c r="F124" s="101" t="s">
        <v>4829</v>
      </c>
      <c r="G124" s="101" t="s">
        <v>4814</v>
      </c>
      <c r="S124" s="100" t="s">
        <v>900</v>
      </c>
    </row>
    <row r="125" spans="1:19" x14ac:dyDescent="0.25">
      <c r="B125" s="101" t="s">
        <v>4816</v>
      </c>
      <c r="G125" s="101" t="s">
        <v>4815</v>
      </c>
      <c r="S125" s="101" t="s">
        <v>2943</v>
      </c>
    </row>
    <row r="126" spans="1:19" x14ac:dyDescent="0.25">
      <c r="B126" s="101" t="s">
        <v>4817</v>
      </c>
      <c r="S126" s="101" t="s">
        <v>4822</v>
      </c>
    </row>
    <row r="127" spans="1:19" x14ac:dyDescent="0.25">
      <c r="B127" s="101" t="s">
        <v>4818</v>
      </c>
      <c r="S127" s="101" t="s">
        <v>4823</v>
      </c>
    </row>
    <row r="129" spans="1:7" x14ac:dyDescent="0.25">
      <c r="A129" s="98" t="s">
        <v>4826</v>
      </c>
      <c r="B129" s="98"/>
      <c r="C129" s="98">
        <v>23</v>
      </c>
      <c r="D129" s="98" t="s">
        <v>4825</v>
      </c>
      <c r="E129" s="98"/>
      <c r="F129" s="98" t="s">
        <v>4824</v>
      </c>
      <c r="G129" s="98" t="s">
        <v>4827</v>
      </c>
    </row>
    <row r="130" spans="1:7" x14ac:dyDescent="0.25">
      <c r="G130" s="98" t="s">
        <v>4828</v>
      </c>
    </row>
  </sheetData>
  <hyperlinks>
    <hyperlink ref="A1" location="contents!A1" display="Contents" xr:uid="{130BE287-3EA5-4EB6-8CF1-366FB5569012}"/>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24"/>
  <sheetViews>
    <sheetView tabSelected="1" topLeftCell="A100" zoomScaleNormal="100" workbookViewId="0">
      <selection activeCell="B135" sqref="B135"/>
    </sheetView>
  </sheetViews>
  <sheetFormatPr defaultColWidth="8.7109375" defaultRowHeight="15" x14ac:dyDescent="0.25"/>
  <cols>
    <col min="1" max="1" width="44" customWidth="1"/>
    <col min="2" max="2" width="22.5703125" customWidth="1"/>
    <col min="3" max="3" width="22.42578125" customWidth="1"/>
    <col min="4" max="4" width="23.7109375" customWidth="1"/>
    <col min="5" max="5" width="20.7109375" customWidth="1"/>
    <col min="6" max="6" width="36.42578125" customWidth="1"/>
    <col min="7" max="7" width="125.140625" customWidth="1"/>
    <col min="8" max="8" width="231.42578125" customWidth="1"/>
    <col min="9" max="9" width="105.85546875" customWidth="1"/>
    <col min="10" max="10" width="24.5703125" customWidth="1"/>
  </cols>
  <sheetData>
    <row r="1" spans="1:14" x14ac:dyDescent="0.25">
      <c r="A1" s="2" t="s">
        <v>0</v>
      </c>
      <c r="B1" s="2" t="s">
        <v>0</v>
      </c>
      <c r="C1" s="2" t="s">
        <v>0</v>
      </c>
      <c r="D1" s="2" t="s">
        <v>0</v>
      </c>
      <c r="E1" s="2" t="s">
        <v>0</v>
      </c>
      <c r="F1" s="2" t="s">
        <v>0</v>
      </c>
      <c r="G1" s="2" t="s">
        <v>0</v>
      </c>
      <c r="H1" s="2" t="s">
        <v>0</v>
      </c>
      <c r="I1" s="2" t="s">
        <v>0</v>
      </c>
      <c r="J1" s="2" t="s">
        <v>0</v>
      </c>
      <c r="K1" s="2" t="s">
        <v>0</v>
      </c>
    </row>
    <row r="2" spans="1:14" x14ac:dyDescent="0.25">
      <c r="A2" s="1" t="s">
        <v>39</v>
      </c>
    </row>
    <row r="3" spans="1:14" x14ac:dyDescent="0.25">
      <c r="A3" s="1" t="s">
        <v>1295</v>
      </c>
      <c r="B3" s="1" t="s">
        <v>1296</v>
      </c>
      <c r="C3" s="1" t="s">
        <v>1297</v>
      </c>
      <c r="D3" s="1" t="s">
        <v>1298</v>
      </c>
      <c r="E3" s="1" t="s">
        <v>885</v>
      </c>
      <c r="F3" s="1" t="s">
        <v>886</v>
      </c>
      <c r="G3" s="1" t="s">
        <v>888</v>
      </c>
      <c r="H3" s="1" t="s">
        <v>889</v>
      </c>
      <c r="I3" s="1" t="s">
        <v>1299</v>
      </c>
      <c r="J3" s="1" t="s">
        <v>1277</v>
      </c>
      <c r="K3" s="1" t="s">
        <v>1278</v>
      </c>
    </row>
    <row r="4" spans="1:14" x14ac:dyDescent="0.25">
      <c r="A4" s="1"/>
      <c r="B4" s="1"/>
      <c r="C4" s="1"/>
      <c r="D4" s="1"/>
      <c r="E4" s="1"/>
      <c r="F4" s="1"/>
      <c r="G4" s="1"/>
      <c r="H4" s="1"/>
      <c r="I4" s="1"/>
      <c r="J4" s="1"/>
      <c r="K4" s="1"/>
    </row>
    <row r="5" spans="1:14" x14ac:dyDescent="0.25">
      <c r="A5" s="33" t="s">
        <v>1300</v>
      </c>
      <c r="B5" s="33" t="s">
        <v>1301</v>
      </c>
      <c r="C5" s="33" t="s">
        <v>1302</v>
      </c>
      <c r="D5" s="33" t="s">
        <v>1294</v>
      </c>
      <c r="E5" s="33">
        <v>0</v>
      </c>
      <c r="F5" s="33" t="s">
        <v>1303</v>
      </c>
      <c r="G5" s="33" t="s">
        <v>1304</v>
      </c>
      <c r="H5" s="33" t="s">
        <v>1305</v>
      </c>
      <c r="I5" s="33" t="s">
        <v>1306</v>
      </c>
      <c r="J5" s="1"/>
      <c r="K5" s="1"/>
      <c r="N5" s="33" t="s">
        <v>1307</v>
      </c>
    </row>
    <row r="6" spans="1:14" x14ac:dyDescent="0.25">
      <c r="A6" s="33"/>
      <c r="B6" s="33"/>
      <c r="C6" s="33"/>
      <c r="D6" s="33"/>
      <c r="E6" s="33"/>
      <c r="F6" s="33"/>
      <c r="G6" s="33"/>
      <c r="H6" s="33" t="s">
        <v>1308</v>
      </c>
      <c r="I6" s="33"/>
      <c r="J6" s="1"/>
      <c r="K6" s="1"/>
      <c r="N6" s="33"/>
    </row>
    <row r="7" spans="1:14" x14ac:dyDescent="0.25">
      <c r="C7" s="1"/>
      <c r="D7" s="1"/>
      <c r="H7" s="33" t="s">
        <v>1309</v>
      </c>
      <c r="I7" s="33" t="s">
        <v>1310</v>
      </c>
      <c r="J7" s="1"/>
      <c r="K7" s="1"/>
      <c r="N7" s="33" t="s">
        <v>1311</v>
      </c>
    </row>
    <row r="8" spans="1:14" x14ac:dyDescent="0.25">
      <c r="C8" s="1"/>
      <c r="D8" s="1"/>
      <c r="H8" s="33" t="s">
        <v>1312</v>
      </c>
      <c r="I8" s="33" t="s">
        <v>1313</v>
      </c>
      <c r="J8" s="1"/>
      <c r="K8" s="1"/>
    </row>
    <row r="9" spans="1:14" x14ac:dyDescent="0.25">
      <c r="C9" s="1"/>
      <c r="D9" s="1"/>
      <c r="H9" s="33" t="s">
        <v>1314</v>
      </c>
      <c r="I9" s="33" t="s">
        <v>1315</v>
      </c>
      <c r="J9" s="1"/>
      <c r="K9" s="1"/>
    </row>
    <row r="10" spans="1:14" x14ac:dyDescent="0.25">
      <c r="C10" s="1"/>
      <c r="D10" s="1"/>
      <c r="H10" s="33" t="s">
        <v>1316</v>
      </c>
      <c r="I10" s="33" t="s">
        <v>1317</v>
      </c>
      <c r="J10" s="1"/>
      <c r="K10" s="1"/>
    </row>
    <row r="11" spans="1:14" x14ac:dyDescent="0.25">
      <c r="C11" s="1"/>
      <c r="D11" s="1"/>
      <c r="H11" s="33" t="s">
        <v>1318</v>
      </c>
      <c r="I11" s="33" t="s">
        <v>1319</v>
      </c>
      <c r="J11" s="1"/>
      <c r="K11" s="1"/>
    </row>
    <row r="12" spans="1:14" x14ac:dyDescent="0.25">
      <c r="C12" s="1"/>
      <c r="D12" s="1"/>
      <c r="H12" s="33" t="s">
        <v>1320</v>
      </c>
      <c r="I12" s="33" t="s">
        <v>1321</v>
      </c>
      <c r="J12" s="1"/>
      <c r="K12" s="1"/>
    </row>
    <row r="13" spans="1:14" x14ac:dyDescent="0.25">
      <c r="C13" s="1"/>
      <c r="D13" s="1"/>
      <c r="H13" s="33" t="s">
        <v>1322</v>
      </c>
      <c r="I13" s="33"/>
      <c r="J13" s="1"/>
      <c r="K13" s="1"/>
    </row>
    <row r="14" spans="1:14" x14ac:dyDescent="0.25">
      <c r="C14" s="1"/>
      <c r="D14" s="1"/>
      <c r="H14" s="33" t="s">
        <v>1323</v>
      </c>
      <c r="I14" s="33"/>
      <c r="J14" s="1"/>
      <c r="K14" s="1"/>
    </row>
    <row r="15" spans="1:14" x14ac:dyDescent="0.25">
      <c r="C15" s="1"/>
      <c r="D15" s="12"/>
      <c r="H15" s="33" t="s">
        <v>1324</v>
      </c>
      <c r="I15" s="33"/>
      <c r="J15" s="1"/>
      <c r="K15" s="1"/>
    </row>
    <row r="16" spans="1:14" x14ac:dyDescent="0.25">
      <c r="C16" s="1"/>
      <c r="D16" s="12"/>
      <c r="J16" s="1"/>
      <c r="K16" s="1"/>
    </row>
    <row r="17" spans="1:14" x14ac:dyDescent="0.25">
      <c r="A17" s="21" t="s">
        <v>1325</v>
      </c>
      <c r="B17" s="21" t="s">
        <v>1301</v>
      </c>
      <c r="C17" s="21" t="s">
        <v>1302</v>
      </c>
      <c r="D17" s="21" t="s">
        <v>1294</v>
      </c>
      <c r="E17" s="21">
        <v>1</v>
      </c>
      <c r="F17" s="21" t="s">
        <v>1326</v>
      </c>
      <c r="G17" s="21" t="s">
        <v>1327</v>
      </c>
      <c r="H17" s="21" t="s">
        <v>1328</v>
      </c>
      <c r="I17" s="21" t="s">
        <v>1329</v>
      </c>
      <c r="J17" s="1"/>
      <c r="K17" s="1"/>
    </row>
    <row r="18" spans="1:14" s="86" customFormat="1" x14ac:dyDescent="0.25">
      <c r="A18" s="85"/>
      <c r="B18" s="85"/>
      <c r="C18" s="85"/>
      <c r="D18" s="85"/>
      <c r="E18" s="85"/>
      <c r="F18" s="85"/>
      <c r="G18" s="85"/>
      <c r="H18" s="85"/>
      <c r="I18" s="85"/>
      <c r="J18" s="118"/>
      <c r="K18" s="118"/>
    </row>
    <row r="19" spans="1:14" s="86" customFormat="1" x14ac:dyDescent="0.25">
      <c r="A19" s="119" t="s">
        <v>5034</v>
      </c>
      <c r="B19" s="120" t="s">
        <v>1301</v>
      </c>
      <c r="C19" s="120" t="s">
        <v>1302</v>
      </c>
      <c r="D19" s="120" t="s">
        <v>1294</v>
      </c>
      <c r="E19" s="119">
        <v>1</v>
      </c>
      <c r="F19" s="119" t="s">
        <v>5031</v>
      </c>
      <c r="G19" s="119" t="s">
        <v>5032</v>
      </c>
      <c r="H19" s="119" t="s">
        <v>5033</v>
      </c>
      <c r="I19" s="119" t="s">
        <v>5035</v>
      </c>
      <c r="J19" s="118"/>
      <c r="K19" s="118"/>
    </row>
    <row r="20" spans="1:14" s="86" customFormat="1" x14ac:dyDescent="0.25">
      <c r="A20" s="85"/>
      <c r="B20" s="85"/>
      <c r="C20" s="85"/>
      <c r="D20" s="85"/>
      <c r="E20" s="85"/>
      <c r="F20" s="85"/>
      <c r="G20" s="85"/>
      <c r="H20" s="85"/>
      <c r="I20" s="85"/>
      <c r="J20" s="118"/>
      <c r="K20" s="118"/>
    </row>
    <row r="21" spans="1:14" x14ac:dyDescent="0.25">
      <c r="A21" s="42" t="s">
        <v>1330</v>
      </c>
      <c r="B21" s="42" t="s">
        <v>1301</v>
      </c>
      <c r="C21" s="42" t="s">
        <v>1302</v>
      </c>
      <c r="D21" s="42" t="s">
        <v>1294</v>
      </c>
      <c r="E21" s="42">
        <v>2</v>
      </c>
      <c r="F21" s="42" t="s">
        <v>1331</v>
      </c>
      <c r="G21" s="42" t="s">
        <v>1332</v>
      </c>
      <c r="H21" s="42" t="s">
        <v>1333</v>
      </c>
      <c r="I21" s="42" t="s">
        <v>1334</v>
      </c>
      <c r="J21" s="1"/>
      <c r="K21" s="1"/>
    </row>
    <row r="22" spans="1:14" x14ac:dyDescent="0.25">
      <c r="C22" s="1"/>
      <c r="D22" s="12"/>
      <c r="H22" s="42" t="s">
        <v>1335</v>
      </c>
      <c r="I22" s="42" t="s">
        <v>1336</v>
      </c>
      <c r="J22" s="1"/>
      <c r="K22" s="1"/>
    </row>
    <row r="23" spans="1:14" x14ac:dyDescent="0.25">
      <c r="C23" s="1"/>
      <c r="D23" s="12"/>
      <c r="H23" s="42" t="s">
        <v>1337</v>
      </c>
      <c r="I23" s="42" t="s">
        <v>1338</v>
      </c>
      <c r="J23" s="1"/>
      <c r="K23" s="1"/>
    </row>
    <row r="24" spans="1:14" x14ac:dyDescent="0.25">
      <c r="C24" s="1"/>
      <c r="D24" s="12"/>
      <c r="H24" s="12"/>
      <c r="J24" s="1"/>
      <c r="K24" s="1"/>
    </row>
    <row r="25" spans="1:14" x14ac:dyDescent="0.25">
      <c r="A25" s="43" t="s">
        <v>1339</v>
      </c>
      <c r="B25" s="43" t="s">
        <v>1301</v>
      </c>
      <c r="C25" s="43" t="s">
        <v>1302</v>
      </c>
      <c r="D25" s="43" t="s">
        <v>1294</v>
      </c>
      <c r="E25" s="43">
        <v>3</v>
      </c>
      <c r="F25" s="43" t="s">
        <v>1340</v>
      </c>
      <c r="G25" s="43" t="s">
        <v>1341</v>
      </c>
      <c r="H25" s="43" t="s">
        <v>1342</v>
      </c>
      <c r="I25" s="43" t="s">
        <v>1343</v>
      </c>
      <c r="J25" s="1"/>
      <c r="K25" s="1"/>
      <c r="N25" s="43" t="s">
        <v>1344</v>
      </c>
    </row>
    <row r="26" spans="1:14" x14ac:dyDescent="0.25">
      <c r="A26" s="43"/>
      <c r="B26" s="43"/>
      <c r="C26" s="43"/>
      <c r="D26" s="43"/>
      <c r="E26" s="43"/>
      <c r="F26" s="43"/>
      <c r="G26" s="43"/>
      <c r="H26" s="43" t="s">
        <v>1345</v>
      </c>
      <c r="I26" s="43"/>
      <c r="J26" s="1"/>
      <c r="K26" s="1"/>
      <c r="N26" s="43"/>
    </row>
    <row r="27" spans="1:14" x14ac:dyDescent="0.25">
      <c r="A27" s="43"/>
      <c r="B27" s="43"/>
      <c r="C27" s="43"/>
      <c r="D27" s="43"/>
      <c r="E27" s="43"/>
      <c r="F27" s="43"/>
      <c r="G27" s="43"/>
      <c r="H27" s="43" t="s">
        <v>1346</v>
      </c>
      <c r="I27" s="43"/>
      <c r="J27" s="1"/>
      <c r="K27" s="1"/>
      <c r="N27" s="43"/>
    </row>
    <row r="28" spans="1:14" s="86" customFormat="1" x14ac:dyDescent="0.25">
      <c r="A28" s="85"/>
      <c r="B28" s="85"/>
      <c r="C28" s="85"/>
      <c r="D28" s="85"/>
      <c r="E28" s="85"/>
      <c r="F28" s="85"/>
      <c r="G28" s="85"/>
      <c r="H28" s="85"/>
      <c r="I28" s="85"/>
      <c r="J28" s="118"/>
      <c r="K28" s="118"/>
      <c r="N28" s="85"/>
    </row>
    <row r="29" spans="1:14" s="86" customFormat="1" x14ac:dyDescent="0.25">
      <c r="A29" s="129" t="s">
        <v>5122</v>
      </c>
      <c r="B29" s="130" t="s">
        <v>1301</v>
      </c>
      <c r="C29" s="130" t="s">
        <v>1302</v>
      </c>
      <c r="D29" s="130" t="s">
        <v>1294</v>
      </c>
      <c r="E29" s="129">
        <v>3</v>
      </c>
      <c r="F29" s="129" t="s">
        <v>5123</v>
      </c>
      <c r="G29" s="129" t="s">
        <v>5124</v>
      </c>
      <c r="H29" s="130" t="s">
        <v>5120</v>
      </c>
      <c r="I29" s="130" t="s">
        <v>5120</v>
      </c>
      <c r="J29" s="118"/>
      <c r="K29" s="118"/>
      <c r="N29" s="85"/>
    </row>
    <row r="30" spans="1:14" s="86" customFormat="1" x14ac:dyDescent="0.25">
      <c r="A30" s="129"/>
      <c r="B30" s="129"/>
      <c r="C30" s="129"/>
      <c r="D30" s="129"/>
      <c r="E30" s="129"/>
      <c r="F30" s="129"/>
      <c r="G30" s="129"/>
      <c r="H30" s="130" t="s">
        <v>5121</v>
      </c>
      <c r="I30" s="130" t="s">
        <v>5121</v>
      </c>
      <c r="J30" s="118"/>
      <c r="K30" s="118"/>
      <c r="N30" s="85"/>
    </row>
    <row r="31" spans="1:14" s="86" customFormat="1" x14ac:dyDescent="0.25">
      <c r="A31" s="85"/>
      <c r="B31" s="85"/>
      <c r="C31" s="85"/>
      <c r="D31" s="85"/>
      <c r="E31" s="85"/>
      <c r="F31" s="85"/>
      <c r="G31" s="85"/>
      <c r="H31" s="85"/>
      <c r="I31" s="85"/>
      <c r="J31" s="118"/>
      <c r="K31" s="118"/>
      <c r="N31" s="85"/>
    </row>
    <row r="32" spans="1:14" x14ac:dyDescent="0.25">
      <c r="C32" s="1"/>
      <c r="D32" s="12"/>
      <c r="H32" s="12"/>
      <c r="J32" s="1"/>
      <c r="K32" s="1"/>
    </row>
    <row r="33" spans="1:14" x14ac:dyDescent="0.25">
      <c r="C33" s="1"/>
      <c r="D33" s="12"/>
      <c r="H33" s="12"/>
      <c r="J33" s="1"/>
      <c r="K33" s="1"/>
    </row>
    <row r="34" spans="1:14" x14ac:dyDescent="0.25">
      <c r="A34" s="104" t="s">
        <v>5072</v>
      </c>
      <c r="B34" s="121" t="s">
        <v>1301</v>
      </c>
      <c r="C34" s="121" t="s">
        <v>1302</v>
      </c>
      <c r="D34" s="121" t="s">
        <v>1294</v>
      </c>
      <c r="E34" s="104">
        <v>3</v>
      </c>
      <c r="F34" s="121" t="s">
        <v>5073</v>
      </c>
      <c r="G34" s="122" t="s">
        <v>5074</v>
      </c>
      <c r="H34" s="121" t="s">
        <v>5075</v>
      </c>
      <c r="I34" s="104">
        <v>3</v>
      </c>
      <c r="J34" s="1"/>
      <c r="K34" s="1"/>
    </row>
    <row r="35" spans="1:14" x14ac:dyDescent="0.25">
      <c r="A35" s="86"/>
      <c r="B35" s="85"/>
      <c r="C35" s="85"/>
      <c r="D35" s="85"/>
      <c r="E35" s="86"/>
      <c r="F35" s="85"/>
      <c r="G35" s="86"/>
      <c r="H35" s="85"/>
      <c r="J35" s="1"/>
      <c r="K35" s="1"/>
    </row>
    <row r="36" spans="1:14" x14ac:dyDescent="0.25">
      <c r="A36" s="123" t="s">
        <v>5076</v>
      </c>
      <c r="B36" s="124" t="s">
        <v>1301</v>
      </c>
      <c r="C36" s="124" t="s">
        <v>1302</v>
      </c>
      <c r="D36" s="124" t="s">
        <v>1294</v>
      </c>
      <c r="E36" s="123">
        <v>3</v>
      </c>
      <c r="F36" s="124" t="s">
        <v>5077</v>
      </c>
      <c r="G36" s="126" t="s">
        <v>5078</v>
      </c>
      <c r="H36" s="124" t="s">
        <v>5079</v>
      </c>
      <c r="I36" s="123">
        <v>4</v>
      </c>
      <c r="J36" s="1"/>
      <c r="K36" s="1"/>
    </row>
    <row r="37" spans="1:14" x14ac:dyDescent="0.25">
      <c r="A37" s="86"/>
      <c r="B37" s="85"/>
      <c r="C37" s="85"/>
      <c r="D37" s="85"/>
      <c r="E37" s="86"/>
      <c r="F37" s="85"/>
      <c r="G37" s="86"/>
      <c r="H37" s="125" t="s">
        <v>5080</v>
      </c>
      <c r="I37" s="123">
        <v>4</v>
      </c>
      <c r="J37" s="1"/>
      <c r="K37" s="1"/>
    </row>
    <row r="38" spans="1:14" x14ac:dyDescent="0.25">
      <c r="A38" s="86"/>
      <c r="B38" s="85"/>
      <c r="C38" s="85"/>
      <c r="D38" s="85"/>
      <c r="E38" s="86"/>
      <c r="F38" s="85"/>
      <c r="G38" s="86"/>
      <c r="H38" s="124" t="s">
        <v>5079</v>
      </c>
      <c r="I38" s="123">
        <v>4</v>
      </c>
      <c r="J38" s="1"/>
      <c r="K38" s="1"/>
    </row>
    <row r="39" spans="1:14" x14ac:dyDescent="0.25">
      <c r="A39" s="86"/>
      <c r="B39" s="86"/>
      <c r="C39" s="118"/>
      <c r="D39" s="85"/>
      <c r="E39" s="86"/>
      <c r="F39" s="86"/>
      <c r="G39" s="86"/>
      <c r="H39" s="85"/>
      <c r="J39" s="1"/>
      <c r="K39" s="1"/>
    </row>
    <row r="40" spans="1:14" x14ac:dyDescent="0.25">
      <c r="C40" s="1"/>
      <c r="D40" s="12"/>
      <c r="J40" s="1"/>
      <c r="K40" s="1"/>
    </row>
    <row r="41" spans="1:14" x14ac:dyDescent="0.25">
      <c r="A41" s="21" t="s">
        <v>1347</v>
      </c>
      <c r="B41" s="21" t="s">
        <v>1301</v>
      </c>
      <c r="C41" s="21" t="s">
        <v>1302</v>
      </c>
      <c r="D41" s="21" t="s">
        <v>1294</v>
      </c>
      <c r="E41" s="21">
        <v>4</v>
      </c>
      <c r="F41" s="21" t="s">
        <v>1348</v>
      </c>
      <c r="G41" s="21" t="s">
        <v>1349</v>
      </c>
      <c r="H41" s="21" t="s">
        <v>1350</v>
      </c>
      <c r="I41" s="21" t="s">
        <v>1351</v>
      </c>
      <c r="J41" s="1"/>
      <c r="K41" s="1"/>
      <c r="N41" t="s">
        <v>1352</v>
      </c>
    </row>
    <row r="42" spans="1:14" x14ac:dyDescent="0.25">
      <c r="C42" s="1"/>
      <c r="D42" s="12"/>
      <c r="H42" s="21" t="s">
        <v>1352</v>
      </c>
      <c r="I42" s="21" t="s">
        <v>1353</v>
      </c>
      <c r="J42" s="1"/>
      <c r="K42" s="1"/>
    </row>
    <row r="43" spans="1:14" x14ac:dyDescent="0.25">
      <c r="C43" s="1"/>
      <c r="D43" s="12"/>
      <c r="H43" s="21" t="s">
        <v>1354</v>
      </c>
      <c r="I43" s="21"/>
      <c r="J43" s="1"/>
      <c r="K43" s="1"/>
    </row>
    <row r="44" spans="1:14" x14ac:dyDescent="0.25">
      <c r="C44" s="1"/>
      <c r="D44" s="12"/>
      <c r="J44" s="1"/>
      <c r="K44" s="1"/>
    </row>
    <row r="45" spans="1:14" x14ac:dyDescent="0.25">
      <c r="A45" s="44" t="s">
        <v>1355</v>
      </c>
      <c r="B45" s="44" t="s">
        <v>1301</v>
      </c>
      <c r="C45" s="44" t="s">
        <v>1302</v>
      </c>
      <c r="D45" s="44" t="s">
        <v>1294</v>
      </c>
      <c r="E45" s="44">
        <v>5</v>
      </c>
      <c r="F45" s="44" t="s">
        <v>1356</v>
      </c>
      <c r="G45" s="44" t="s">
        <v>1357</v>
      </c>
      <c r="H45" s="44" t="s">
        <v>1358</v>
      </c>
      <c r="I45" s="44" t="s">
        <v>1359</v>
      </c>
      <c r="K45" s="1"/>
      <c r="N45" s="44" t="s">
        <v>1360</v>
      </c>
    </row>
    <row r="46" spans="1:14" x14ac:dyDescent="0.25">
      <c r="C46" s="1"/>
      <c r="D46" s="1"/>
      <c r="E46" s="1"/>
      <c r="H46" s="44" t="s">
        <v>1361</v>
      </c>
      <c r="I46" s="44" t="s">
        <v>1362</v>
      </c>
      <c r="J46" s="1"/>
      <c r="K46" s="1"/>
    </row>
    <row r="47" spans="1:14" x14ac:dyDescent="0.25">
      <c r="A47" s="1"/>
      <c r="B47" s="1"/>
      <c r="C47" s="1"/>
      <c r="D47" s="1"/>
      <c r="E47" s="1"/>
      <c r="F47" s="1"/>
      <c r="G47" s="1"/>
      <c r="H47" t="s">
        <v>1363</v>
      </c>
      <c r="I47" s="1"/>
      <c r="J47" s="1"/>
      <c r="K47" s="1"/>
    </row>
    <row r="48" spans="1:14" x14ac:dyDescent="0.25">
      <c r="A48" s="1"/>
      <c r="B48" s="1"/>
      <c r="C48" s="1"/>
      <c r="D48" s="1"/>
      <c r="E48" s="1"/>
      <c r="F48" s="1"/>
      <c r="G48" s="1"/>
      <c r="H48" s="1"/>
      <c r="I48" s="1"/>
      <c r="J48" s="1"/>
      <c r="K48" s="1"/>
    </row>
    <row r="49" spans="1:20" x14ac:dyDescent="0.25">
      <c r="A49" s="26" t="s">
        <v>1364</v>
      </c>
      <c r="B49" s="26" t="s">
        <v>1301</v>
      </c>
      <c r="C49" s="26" t="s">
        <v>1302</v>
      </c>
      <c r="D49" s="26" t="s">
        <v>1294</v>
      </c>
      <c r="E49" s="26">
        <v>6</v>
      </c>
      <c r="F49" s="26" t="s">
        <v>1365</v>
      </c>
      <c r="G49" s="26" t="s">
        <v>1366</v>
      </c>
      <c r="H49" s="26" t="s">
        <v>1367</v>
      </c>
      <c r="I49" s="26" t="s">
        <v>1368</v>
      </c>
    </row>
    <row r="50" spans="1:20" x14ac:dyDescent="0.25">
      <c r="H50" s="26" t="s">
        <v>1369</v>
      </c>
      <c r="I50" s="26" t="s">
        <v>1370</v>
      </c>
    </row>
    <row r="52" spans="1:20" x14ac:dyDescent="0.25">
      <c r="A52" s="35" t="s">
        <v>1371</v>
      </c>
      <c r="B52" s="35" t="s">
        <v>1301</v>
      </c>
      <c r="C52" s="35" t="s">
        <v>1302</v>
      </c>
      <c r="D52" s="35" t="s">
        <v>1294</v>
      </c>
      <c r="E52" s="35">
        <v>7</v>
      </c>
      <c r="F52" s="35" t="s">
        <v>1372</v>
      </c>
      <c r="G52" s="35" t="s">
        <v>5135</v>
      </c>
      <c r="H52" s="35" t="s">
        <v>1374</v>
      </c>
      <c r="I52" s="35" t="s">
        <v>1375</v>
      </c>
      <c r="N52" s="35" t="s">
        <v>1373</v>
      </c>
    </row>
    <row r="53" spans="1:20" x14ac:dyDescent="0.25">
      <c r="A53" s="35"/>
      <c r="B53" s="35"/>
      <c r="C53" s="35"/>
      <c r="D53" s="35"/>
      <c r="E53" s="35"/>
      <c r="F53" s="35"/>
      <c r="G53" s="35"/>
      <c r="H53" s="35" t="s">
        <v>5132</v>
      </c>
      <c r="I53" s="35"/>
      <c r="N53" s="35" t="s">
        <v>5134</v>
      </c>
    </row>
    <row r="54" spans="1:20" x14ac:dyDescent="0.25">
      <c r="A54" s="35"/>
      <c r="B54" s="35"/>
      <c r="C54" s="35"/>
      <c r="D54" s="35"/>
      <c r="E54" s="35"/>
      <c r="F54" s="35"/>
      <c r="G54" s="35"/>
      <c r="H54" s="35" t="s">
        <v>5133</v>
      </c>
      <c r="I54" s="35"/>
    </row>
    <row r="55" spans="1:20" x14ac:dyDescent="0.25">
      <c r="A55" s="35"/>
      <c r="B55" s="35"/>
      <c r="C55" s="35"/>
      <c r="D55" s="35"/>
      <c r="E55" s="35"/>
      <c r="F55" s="35"/>
      <c r="G55" s="35"/>
      <c r="H55" s="35"/>
      <c r="I55" s="35"/>
    </row>
    <row r="57" spans="1:20" x14ac:dyDescent="0.25">
      <c r="A57" s="25" t="s">
        <v>1376</v>
      </c>
      <c r="B57" s="25" t="s">
        <v>1301</v>
      </c>
      <c r="C57" s="25" t="s">
        <v>1302</v>
      </c>
      <c r="D57" s="25" t="s">
        <v>1294</v>
      </c>
      <c r="E57" s="25">
        <v>8</v>
      </c>
      <c r="F57" s="25" t="s">
        <v>1377</v>
      </c>
      <c r="G57" s="25" t="s">
        <v>1378</v>
      </c>
    </row>
    <row r="59" spans="1:20" x14ac:dyDescent="0.25">
      <c r="A59" s="45"/>
      <c r="B59" s="45" t="s">
        <v>1301</v>
      </c>
      <c r="C59" s="45" t="s">
        <v>1302</v>
      </c>
      <c r="D59" s="45" t="s">
        <v>1294</v>
      </c>
      <c r="E59" s="45">
        <v>9</v>
      </c>
      <c r="F59" s="45" t="s">
        <v>1379</v>
      </c>
      <c r="G59" s="45" t="s">
        <v>1380</v>
      </c>
      <c r="H59" s="45" t="s">
        <v>1381</v>
      </c>
      <c r="I59" s="45" t="s">
        <v>1382</v>
      </c>
      <c r="N59" s="45" t="s">
        <v>1380</v>
      </c>
      <c r="T59" s="45" t="s">
        <v>1383</v>
      </c>
    </row>
    <row r="60" spans="1:20" x14ac:dyDescent="0.25">
      <c r="A60" s="45"/>
      <c r="B60" s="45"/>
      <c r="C60" s="45"/>
      <c r="D60" s="45"/>
      <c r="E60" s="45"/>
      <c r="F60" s="45"/>
      <c r="G60" s="45"/>
      <c r="H60" s="45" t="s">
        <v>1384</v>
      </c>
      <c r="I60" s="45"/>
      <c r="N60" s="45"/>
      <c r="T60" s="45"/>
    </row>
    <row r="62" spans="1:20" x14ac:dyDescent="0.25">
      <c r="A62" s="46"/>
      <c r="B62" s="46" t="s">
        <v>1301</v>
      </c>
      <c r="C62" s="46" t="s">
        <v>1302</v>
      </c>
      <c r="D62" s="46" t="s">
        <v>1294</v>
      </c>
      <c r="E62" s="46">
        <v>10</v>
      </c>
      <c r="F62" s="46" t="s">
        <v>1385</v>
      </c>
      <c r="G62" s="46" t="s">
        <v>1386</v>
      </c>
      <c r="H62" s="46" t="s">
        <v>1387</v>
      </c>
    </row>
    <row r="63" spans="1:20" x14ac:dyDescent="0.25">
      <c r="H63" s="46" t="s">
        <v>1388</v>
      </c>
    </row>
    <row r="64" spans="1:20" x14ac:dyDescent="0.25">
      <c r="H64" s="46" t="s">
        <v>1389</v>
      </c>
    </row>
    <row r="65" spans="8:8" x14ac:dyDescent="0.25">
      <c r="H65" s="46" t="s">
        <v>1390</v>
      </c>
    </row>
    <row r="66" spans="8:8" x14ac:dyDescent="0.25">
      <c r="H66" s="46" t="s">
        <v>1391</v>
      </c>
    </row>
    <row r="67" spans="8:8" x14ac:dyDescent="0.25">
      <c r="H67" s="46" t="s">
        <v>1392</v>
      </c>
    </row>
    <row r="68" spans="8:8" x14ac:dyDescent="0.25">
      <c r="H68" s="46" t="s">
        <v>1393</v>
      </c>
    </row>
    <row r="69" spans="8:8" x14ac:dyDescent="0.25">
      <c r="H69" s="46" t="s">
        <v>1394</v>
      </c>
    </row>
    <row r="70" spans="8:8" x14ac:dyDescent="0.25">
      <c r="H70" s="46" t="s">
        <v>1395</v>
      </c>
    </row>
    <row r="71" spans="8:8" x14ac:dyDescent="0.25">
      <c r="H71" s="46" t="s">
        <v>1396</v>
      </c>
    </row>
    <row r="72" spans="8:8" ht="30" x14ac:dyDescent="0.25">
      <c r="H72" s="47" t="s">
        <v>1397</v>
      </c>
    </row>
    <row r="73" spans="8:8" x14ac:dyDescent="0.25">
      <c r="H73" s="46" t="s">
        <v>1398</v>
      </c>
    </row>
    <row r="74" spans="8:8" x14ac:dyDescent="0.25">
      <c r="H74" s="46" t="s">
        <v>1399</v>
      </c>
    </row>
    <row r="75" spans="8:8" x14ac:dyDescent="0.25">
      <c r="H75" s="46" t="s">
        <v>1400</v>
      </c>
    </row>
    <row r="76" spans="8:8" x14ac:dyDescent="0.25">
      <c r="H76" s="46" t="s">
        <v>1401</v>
      </c>
    </row>
    <row r="77" spans="8:8" x14ac:dyDescent="0.25">
      <c r="H77" s="46" t="s">
        <v>1402</v>
      </c>
    </row>
    <row r="78" spans="8:8" x14ac:dyDescent="0.25">
      <c r="H78" s="46" t="s">
        <v>1403</v>
      </c>
    </row>
    <row r="79" spans="8:8" x14ac:dyDescent="0.25">
      <c r="H79" s="46" t="s">
        <v>1404</v>
      </c>
    </row>
    <row r="80" spans="8:8" x14ac:dyDescent="0.25">
      <c r="H80" s="46" t="s">
        <v>1405</v>
      </c>
    </row>
    <row r="81" spans="1:11" x14ac:dyDescent="0.25">
      <c r="H81" s="46" t="s">
        <v>1406</v>
      </c>
    </row>
    <row r="82" spans="1:11" x14ac:dyDescent="0.25">
      <c r="H82" s="46" t="s">
        <v>1407</v>
      </c>
    </row>
    <row r="83" spans="1:11" x14ac:dyDescent="0.25">
      <c r="H83" s="46" t="s">
        <v>1408</v>
      </c>
    </row>
    <row r="84" spans="1:11" x14ac:dyDescent="0.25">
      <c r="H84" s="46" t="s">
        <v>1409</v>
      </c>
    </row>
    <row r="85" spans="1:11" x14ac:dyDescent="0.25">
      <c r="H85" s="46" t="s">
        <v>1410</v>
      </c>
    </row>
    <row r="86" spans="1:11" x14ac:dyDescent="0.25">
      <c r="H86" s="46" t="s">
        <v>1411</v>
      </c>
    </row>
    <row r="87" spans="1:11" x14ac:dyDescent="0.25">
      <c r="H87" s="46" t="s">
        <v>1412</v>
      </c>
    </row>
    <row r="88" spans="1:11" x14ac:dyDescent="0.25">
      <c r="H88" s="46" t="s">
        <v>1413</v>
      </c>
    </row>
    <row r="89" spans="1:11" x14ac:dyDescent="0.25">
      <c r="H89" s="46" t="s">
        <v>1414</v>
      </c>
    </row>
    <row r="90" spans="1:11" x14ac:dyDescent="0.25">
      <c r="H90" s="46" t="s">
        <v>1415</v>
      </c>
    </row>
    <row r="91" spans="1:11" x14ac:dyDescent="0.25">
      <c r="H91" s="46" t="s">
        <v>1416</v>
      </c>
    </row>
    <row r="92" spans="1:11" x14ac:dyDescent="0.25">
      <c r="H92" s="46" t="s">
        <v>1417</v>
      </c>
    </row>
    <row r="94" spans="1:11" x14ac:dyDescent="0.25">
      <c r="A94" s="43" t="s">
        <v>1418</v>
      </c>
      <c r="B94" s="43" t="s">
        <v>1301</v>
      </c>
      <c r="C94" s="43" t="s">
        <v>1302</v>
      </c>
      <c r="D94" s="43" t="s">
        <v>1294</v>
      </c>
      <c r="E94" s="43">
        <v>11</v>
      </c>
      <c r="F94" s="43" t="s">
        <v>1419</v>
      </c>
      <c r="G94" s="43" t="s">
        <v>1420</v>
      </c>
      <c r="H94" s="43" t="s">
        <v>1421</v>
      </c>
      <c r="I94" s="43" t="s">
        <v>1422</v>
      </c>
      <c r="K94" s="43" t="s">
        <v>1423</v>
      </c>
    </row>
    <row r="95" spans="1:11" x14ac:dyDescent="0.25">
      <c r="H95" s="43" t="s">
        <v>1424</v>
      </c>
      <c r="I95" s="43" t="s">
        <v>1425</v>
      </c>
    </row>
    <row r="96" spans="1:11" x14ac:dyDescent="0.25">
      <c r="H96" s="43" t="s">
        <v>1426</v>
      </c>
      <c r="I96" s="43"/>
    </row>
    <row r="97" spans="1:11" x14ac:dyDescent="0.25">
      <c r="H97" s="43" t="s">
        <v>1427</v>
      </c>
      <c r="I97" s="43"/>
    </row>
    <row r="98" spans="1:11" x14ac:dyDescent="0.25">
      <c r="H98" s="43" t="s">
        <v>1428</v>
      </c>
      <c r="I98" s="43"/>
    </row>
    <row r="99" spans="1:11" x14ac:dyDescent="0.25">
      <c r="H99" s="43"/>
      <c r="I99" s="43"/>
    </row>
    <row r="101" spans="1:11" x14ac:dyDescent="0.25">
      <c r="A101" s="24" t="s">
        <v>1429</v>
      </c>
      <c r="B101" s="24" t="s">
        <v>1301</v>
      </c>
      <c r="C101" s="24" t="s">
        <v>1302</v>
      </c>
      <c r="D101" s="24" t="s">
        <v>1294</v>
      </c>
      <c r="E101" s="24">
        <v>12</v>
      </c>
      <c r="F101" s="24" t="s">
        <v>1430</v>
      </c>
      <c r="G101" s="24" t="s">
        <v>1431</v>
      </c>
      <c r="H101" s="24" t="s">
        <v>1432</v>
      </c>
      <c r="I101" s="24" t="s">
        <v>1433</v>
      </c>
      <c r="J101" s="24"/>
      <c r="K101" s="24" t="s">
        <v>1434</v>
      </c>
    </row>
    <row r="102" spans="1:11" x14ac:dyDescent="0.25">
      <c r="A102" s="24"/>
      <c r="B102" s="24"/>
      <c r="C102" s="24"/>
      <c r="D102" s="24"/>
      <c r="E102" s="24"/>
      <c r="F102" s="24"/>
      <c r="G102" s="24"/>
      <c r="H102" s="24" t="s">
        <v>1435</v>
      </c>
      <c r="I102" s="24"/>
      <c r="J102" s="24"/>
      <c r="K102" s="24"/>
    </row>
    <row r="104" spans="1:11" x14ac:dyDescent="0.25">
      <c r="B104" s="37" t="s">
        <v>1301</v>
      </c>
      <c r="C104" s="37" t="s">
        <v>1302</v>
      </c>
      <c r="D104" s="37" t="s">
        <v>1294</v>
      </c>
      <c r="E104" s="37">
        <v>13</v>
      </c>
      <c r="F104" s="37" t="s">
        <v>1436</v>
      </c>
      <c r="G104" s="37" t="s">
        <v>1437</v>
      </c>
      <c r="H104" s="37" t="s">
        <v>1438</v>
      </c>
      <c r="I104" s="37" t="s">
        <v>1439</v>
      </c>
    </row>
    <row r="105" spans="1:11" x14ac:dyDescent="0.25">
      <c r="H105" s="37" t="s">
        <v>1440</v>
      </c>
      <c r="I105" s="37" t="s">
        <v>1441</v>
      </c>
    </row>
    <row r="106" spans="1:11" x14ac:dyDescent="0.25">
      <c r="H106" s="37" t="s">
        <v>5109</v>
      </c>
      <c r="I106" s="37"/>
    </row>
    <row r="107" spans="1:11" x14ac:dyDescent="0.25">
      <c r="H107" s="37" t="s">
        <v>5111</v>
      </c>
      <c r="I107" s="37"/>
    </row>
    <row r="109" spans="1:11" x14ac:dyDescent="0.25">
      <c r="B109" s="36" t="s">
        <v>1301</v>
      </c>
      <c r="C109" s="36" t="s">
        <v>1302</v>
      </c>
      <c r="D109" s="36" t="s">
        <v>1294</v>
      </c>
      <c r="E109" s="36">
        <v>14</v>
      </c>
      <c r="F109" s="36" t="s">
        <v>1442</v>
      </c>
      <c r="G109" s="36" t="s">
        <v>1443</v>
      </c>
      <c r="H109" s="36" t="s">
        <v>1444</v>
      </c>
    </row>
    <row r="111" spans="1:11" x14ac:dyDescent="0.25">
      <c r="B111" s="48" t="s">
        <v>1301</v>
      </c>
      <c r="C111" s="48" t="s">
        <v>1302</v>
      </c>
      <c r="D111" s="48" t="s">
        <v>1294</v>
      </c>
      <c r="E111" s="48">
        <v>15</v>
      </c>
      <c r="F111" s="48" t="s">
        <v>1445</v>
      </c>
      <c r="G111" s="48" t="s">
        <v>1446</v>
      </c>
      <c r="H111" s="48" t="s">
        <v>1447</v>
      </c>
      <c r="I111" s="48" t="s">
        <v>1448</v>
      </c>
    </row>
    <row r="112" spans="1:11" x14ac:dyDescent="0.25">
      <c r="H112" s="48" t="s">
        <v>1449</v>
      </c>
    </row>
    <row r="114" spans="1:9" x14ac:dyDescent="0.25">
      <c r="B114" s="49" t="s">
        <v>1301</v>
      </c>
      <c r="C114" s="49" t="s">
        <v>1302</v>
      </c>
      <c r="D114" s="49" t="s">
        <v>1294</v>
      </c>
      <c r="E114" s="49">
        <v>15</v>
      </c>
      <c r="F114" s="49" t="s">
        <v>1450</v>
      </c>
      <c r="G114" s="49" t="s">
        <v>1451</v>
      </c>
      <c r="H114" s="49" t="s">
        <v>1452</v>
      </c>
      <c r="I114" s="49" t="s">
        <v>1453</v>
      </c>
    </row>
    <row r="115" spans="1:9" x14ac:dyDescent="0.25">
      <c r="H115" s="49" t="s">
        <v>1454</v>
      </c>
    </row>
    <row r="116" spans="1:9" x14ac:dyDescent="0.25">
      <c r="H116" s="49" t="s">
        <v>1455</v>
      </c>
    </row>
    <row r="118" spans="1:9" x14ac:dyDescent="0.25">
      <c r="B118" s="43" t="s">
        <v>1301</v>
      </c>
      <c r="C118" s="43" t="s">
        <v>1302</v>
      </c>
      <c r="D118" s="43" t="s">
        <v>1294</v>
      </c>
      <c r="E118" s="43">
        <v>15</v>
      </c>
      <c r="F118" s="43" t="s">
        <v>1456</v>
      </c>
      <c r="G118" s="43" t="s">
        <v>1457</v>
      </c>
      <c r="H118" s="43" t="s">
        <v>1458</v>
      </c>
    </row>
    <row r="119" spans="1:9" x14ac:dyDescent="0.25">
      <c r="H119" s="43" t="s">
        <v>1459</v>
      </c>
    </row>
    <row r="121" spans="1:9" x14ac:dyDescent="0.25">
      <c r="B121" s="127" t="s">
        <v>1301</v>
      </c>
      <c r="C121" s="127" t="s">
        <v>1302</v>
      </c>
      <c r="D121" s="127" t="s">
        <v>1294</v>
      </c>
      <c r="E121" s="128">
        <v>16</v>
      </c>
      <c r="F121" s="127" t="s">
        <v>5105</v>
      </c>
      <c r="G121" s="128" t="s">
        <v>5104</v>
      </c>
      <c r="H121" s="128" t="s">
        <v>5100</v>
      </c>
      <c r="I121" s="128" t="s">
        <v>5106</v>
      </c>
    </row>
    <row r="123" spans="1:9" x14ac:dyDescent="0.25">
      <c r="A123" s="131" t="s">
        <v>5176</v>
      </c>
      <c r="B123" s="131" t="s">
        <v>1301</v>
      </c>
      <c r="C123" s="131" t="s">
        <v>1302</v>
      </c>
      <c r="D123" s="131" t="s">
        <v>1294</v>
      </c>
      <c r="E123" s="114">
        <v>17</v>
      </c>
      <c r="F123" s="131" t="s">
        <v>5171</v>
      </c>
      <c r="G123" s="131" t="s">
        <v>5172</v>
      </c>
      <c r="H123" s="131" t="s">
        <v>5173</v>
      </c>
      <c r="I123" s="131" t="s">
        <v>5175</v>
      </c>
    </row>
    <row r="124" spans="1:9" x14ac:dyDescent="0.25">
      <c r="H124" s="131" t="s">
        <v>5174</v>
      </c>
      <c r="I124" s="131" t="s">
        <v>5175</v>
      </c>
    </row>
  </sheetData>
  <hyperlinks>
    <hyperlink ref="A1" location="contents!A1" display="Contents" xr:uid="{00000000-0004-0000-0900-000000000000}"/>
    <hyperlink ref="B1" location="contents!A1" display="Contents" xr:uid="{00000000-0004-0000-0900-000001000000}"/>
    <hyperlink ref="C1" location="contents!A1" display="Contents" xr:uid="{00000000-0004-0000-0900-000002000000}"/>
    <hyperlink ref="D1" location="contents!A1" display="Contents" xr:uid="{00000000-0004-0000-0900-000003000000}"/>
    <hyperlink ref="E1" location="contents!A1" display="Contents" xr:uid="{00000000-0004-0000-0900-000004000000}"/>
    <hyperlink ref="F1" location="contents!A1" display="Contents" xr:uid="{00000000-0004-0000-0900-000005000000}"/>
    <hyperlink ref="G1" location="contents!A1" display="Contents" xr:uid="{00000000-0004-0000-0900-000006000000}"/>
    <hyperlink ref="H1" location="contents!A1" display="Contents" xr:uid="{00000000-0004-0000-0900-000007000000}"/>
    <hyperlink ref="I1" location="contents!A1" display="Contents" xr:uid="{00000000-0004-0000-0900-000008000000}"/>
    <hyperlink ref="J1" location="contents!A1" display="Contents" xr:uid="{00000000-0004-0000-0900-000009000000}"/>
    <hyperlink ref="K1" location="contents!A1" display="Contents" xr:uid="{00000000-0004-0000-0900-00000A000000}"/>
  </hyperlinks>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72"/>
  <sheetViews>
    <sheetView zoomScaleNormal="100" workbookViewId="0">
      <selection activeCell="B1" sqref="B1"/>
    </sheetView>
  </sheetViews>
  <sheetFormatPr defaultColWidth="8.7109375" defaultRowHeight="15" x14ac:dyDescent="0.25"/>
  <cols>
    <col min="1" max="1" width="27" customWidth="1"/>
    <col min="2" max="2" width="13.42578125" customWidth="1"/>
    <col min="3" max="3" width="52.28515625" customWidth="1"/>
    <col min="4" max="4" width="32.28515625" customWidth="1"/>
    <col min="5" max="5" width="235.5703125" customWidth="1"/>
    <col min="6" max="6" width="150.7109375" customWidth="1"/>
  </cols>
  <sheetData>
    <row r="1" spans="1:6" x14ac:dyDescent="0.25">
      <c r="A1" s="2" t="s">
        <v>0</v>
      </c>
      <c r="B1" s="2" t="s">
        <v>0</v>
      </c>
      <c r="C1" s="2" t="s">
        <v>0</v>
      </c>
      <c r="D1" s="2" t="s">
        <v>0</v>
      </c>
      <c r="E1" s="2" t="s">
        <v>0</v>
      </c>
      <c r="F1" s="2" t="s">
        <v>0</v>
      </c>
    </row>
    <row r="2" spans="1:6" x14ac:dyDescent="0.25">
      <c r="A2" s="1" t="s">
        <v>41</v>
      </c>
    </row>
    <row r="3" spans="1:6" x14ac:dyDescent="0.25">
      <c r="A3" s="1" t="s">
        <v>1287</v>
      </c>
      <c r="B3" s="1" t="s">
        <v>1293</v>
      </c>
      <c r="C3" s="1" t="s">
        <v>2963</v>
      </c>
      <c r="D3" s="1" t="s">
        <v>2964</v>
      </c>
      <c r="E3" s="1" t="s">
        <v>1</v>
      </c>
      <c r="F3" s="72" t="s">
        <v>2965</v>
      </c>
    </row>
    <row r="4" spans="1:6" x14ac:dyDescent="0.25">
      <c r="A4" t="s">
        <v>2966</v>
      </c>
      <c r="B4" t="s">
        <v>2967</v>
      </c>
      <c r="C4" s="12" t="s">
        <v>2968</v>
      </c>
      <c r="D4" t="s">
        <v>1240</v>
      </c>
      <c r="E4" s="7" t="s">
        <v>4481</v>
      </c>
      <c r="F4" t="s">
        <v>2969</v>
      </c>
    </row>
    <row r="5" spans="1:6" x14ac:dyDescent="0.25">
      <c r="A5" t="s">
        <v>2970</v>
      </c>
      <c r="B5" t="s">
        <v>2967</v>
      </c>
      <c r="C5" s="12" t="s">
        <v>2971</v>
      </c>
      <c r="E5" t="s">
        <v>2972</v>
      </c>
      <c r="F5" t="s">
        <v>2973</v>
      </c>
    </row>
    <row r="6" spans="1:6" ht="30" x14ac:dyDescent="0.25">
      <c r="A6" t="s">
        <v>2974</v>
      </c>
      <c r="B6" t="s">
        <v>2967</v>
      </c>
      <c r="C6" s="12" t="s">
        <v>2975</v>
      </c>
      <c r="E6" s="7" t="s">
        <v>3094</v>
      </c>
      <c r="F6" t="s">
        <v>2976</v>
      </c>
    </row>
    <row r="7" spans="1:6" x14ac:dyDescent="0.25">
      <c r="A7" t="s">
        <v>2977</v>
      </c>
      <c r="B7" t="s">
        <v>2967</v>
      </c>
      <c r="C7" s="12" t="s">
        <v>2978</v>
      </c>
      <c r="E7" s="7" t="s">
        <v>4486</v>
      </c>
      <c r="F7" t="s">
        <v>2979</v>
      </c>
    </row>
    <row r="8" spans="1:6" ht="30" x14ac:dyDescent="0.25">
      <c r="A8" t="s">
        <v>2974</v>
      </c>
      <c r="B8" t="s">
        <v>2967</v>
      </c>
      <c r="C8" s="12" t="s">
        <v>2980</v>
      </c>
      <c r="E8" s="7" t="s">
        <v>3094</v>
      </c>
      <c r="F8" t="s">
        <v>2976</v>
      </c>
    </row>
    <row r="9" spans="1:6" ht="30" x14ac:dyDescent="0.25">
      <c r="A9" t="s">
        <v>2981</v>
      </c>
      <c r="B9" t="s">
        <v>2967</v>
      </c>
      <c r="C9" s="12" t="s">
        <v>2982</v>
      </c>
      <c r="E9" s="7" t="s">
        <v>4485</v>
      </c>
      <c r="F9" t="s">
        <v>2983</v>
      </c>
    </row>
    <row r="10" spans="1:6" x14ac:dyDescent="0.25">
      <c r="A10" t="s">
        <v>2966</v>
      </c>
      <c r="B10" t="s">
        <v>2967</v>
      </c>
      <c r="C10" s="12" t="s">
        <v>2984</v>
      </c>
      <c r="D10" t="s">
        <v>1240</v>
      </c>
      <c r="E10" s="7" t="s">
        <v>4481</v>
      </c>
      <c r="F10" t="s">
        <v>2969</v>
      </c>
    </row>
    <row r="11" spans="1:6" x14ac:dyDescent="0.25">
      <c r="A11" t="s">
        <v>2966</v>
      </c>
      <c r="B11" t="s">
        <v>2967</v>
      </c>
      <c r="C11" s="12" t="s">
        <v>2985</v>
      </c>
      <c r="D11" t="s">
        <v>1256</v>
      </c>
      <c r="E11" s="7" t="s">
        <v>4487</v>
      </c>
      <c r="F11" t="s">
        <v>64</v>
      </c>
    </row>
    <row r="12" spans="1:6" x14ac:dyDescent="0.25">
      <c r="A12" t="s">
        <v>2966</v>
      </c>
      <c r="B12" t="s">
        <v>2967</v>
      </c>
      <c r="C12" s="12" t="s">
        <v>2986</v>
      </c>
      <c r="D12" t="s">
        <v>1240</v>
      </c>
      <c r="E12" s="7" t="s">
        <v>4481</v>
      </c>
      <c r="F12" t="s">
        <v>2969</v>
      </c>
    </row>
    <row r="13" spans="1:6" ht="30" x14ac:dyDescent="0.25">
      <c r="A13" t="s">
        <v>2966</v>
      </c>
      <c r="B13" t="s">
        <v>2967</v>
      </c>
      <c r="C13" s="12" t="s">
        <v>2987</v>
      </c>
      <c r="D13" t="s">
        <v>1240</v>
      </c>
      <c r="E13" s="7" t="s">
        <v>4483</v>
      </c>
      <c r="F13" t="s">
        <v>2988</v>
      </c>
    </row>
    <row r="14" spans="1:6" x14ac:dyDescent="0.25">
      <c r="A14" t="s">
        <v>2966</v>
      </c>
      <c r="B14" t="s">
        <v>2967</v>
      </c>
      <c r="C14" s="12" t="s">
        <v>2989</v>
      </c>
      <c r="D14" t="s">
        <v>1240</v>
      </c>
      <c r="E14" s="7" t="s">
        <v>4484</v>
      </c>
      <c r="F14" t="s">
        <v>2973</v>
      </c>
    </row>
    <row r="15" spans="1:6" x14ac:dyDescent="0.25">
      <c r="A15" t="s">
        <v>2966</v>
      </c>
      <c r="B15" t="s">
        <v>2967</v>
      </c>
      <c r="C15" s="12" t="s">
        <v>2990</v>
      </c>
      <c r="D15" t="s">
        <v>1252</v>
      </c>
      <c r="E15" t="s">
        <v>2991</v>
      </c>
      <c r="F15" t="s">
        <v>64</v>
      </c>
    </row>
    <row r="16" spans="1:6" x14ac:dyDescent="0.25">
      <c r="A16" t="s">
        <v>2966</v>
      </c>
      <c r="B16" t="s">
        <v>2967</v>
      </c>
      <c r="C16" s="12" t="s">
        <v>2992</v>
      </c>
      <c r="D16" t="s">
        <v>1252</v>
      </c>
      <c r="E16" t="s">
        <v>2991</v>
      </c>
      <c r="F16" t="s">
        <v>64</v>
      </c>
    </row>
    <row r="17" spans="1:6" x14ac:dyDescent="0.25">
      <c r="A17" t="s">
        <v>2966</v>
      </c>
      <c r="B17" t="s">
        <v>2967</v>
      </c>
      <c r="C17" s="12" t="s">
        <v>2993</v>
      </c>
      <c r="D17" t="s">
        <v>1240</v>
      </c>
      <c r="E17" t="s">
        <v>2994</v>
      </c>
      <c r="F17" t="s">
        <v>2973</v>
      </c>
    </row>
    <row r="18" spans="1:6" x14ac:dyDescent="0.25">
      <c r="A18" t="s">
        <v>2995</v>
      </c>
      <c r="B18" t="s">
        <v>2996</v>
      </c>
      <c r="C18" s="12" t="s">
        <v>2997</v>
      </c>
      <c r="D18" t="s">
        <v>1240</v>
      </c>
      <c r="E18" t="s">
        <v>2998</v>
      </c>
      <c r="F18" t="s">
        <v>2999</v>
      </c>
    </row>
    <row r="19" spans="1:6" x14ac:dyDescent="0.25">
      <c r="A19" t="s">
        <v>2966</v>
      </c>
      <c r="B19" t="s">
        <v>2967</v>
      </c>
      <c r="C19" s="12" t="s">
        <v>3000</v>
      </c>
      <c r="D19" t="s">
        <v>1240</v>
      </c>
      <c r="E19" s="7" t="s">
        <v>4481</v>
      </c>
      <c r="F19" t="s">
        <v>2969</v>
      </c>
    </row>
    <row r="20" spans="1:6" x14ac:dyDescent="0.25">
      <c r="A20" t="s">
        <v>2966</v>
      </c>
      <c r="B20" t="s">
        <v>2967</v>
      </c>
      <c r="C20" s="12" t="s">
        <v>3001</v>
      </c>
      <c r="D20" t="s">
        <v>1240</v>
      </c>
      <c r="E20" s="7" t="s">
        <v>4481</v>
      </c>
      <c r="F20" t="s">
        <v>2969</v>
      </c>
    </row>
    <row r="21" spans="1:6" x14ac:dyDescent="0.25">
      <c r="A21" t="s">
        <v>3002</v>
      </c>
      <c r="B21" t="s">
        <v>2967</v>
      </c>
      <c r="C21" s="12" t="s">
        <v>3003</v>
      </c>
      <c r="E21" t="s">
        <v>3004</v>
      </c>
      <c r="F21" t="s">
        <v>2983</v>
      </c>
    </row>
    <row r="22" spans="1:6" x14ac:dyDescent="0.25">
      <c r="A22" t="s">
        <v>3005</v>
      </c>
      <c r="B22" t="s">
        <v>2967</v>
      </c>
      <c r="C22" s="12" t="s">
        <v>3006</v>
      </c>
      <c r="E22" t="s">
        <v>3007</v>
      </c>
      <c r="F22" t="s">
        <v>3008</v>
      </c>
    </row>
    <row r="23" spans="1:6" x14ac:dyDescent="0.25">
      <c r="A23" t="s">
        <v>3009</v>
      </c>
      <c r="B23" t="s">
        <v>2967</v>
      </c>
      <c r="C23" s="12" t="s">
        <v>1429</v>
      </c>
      <c r="D23" t="s">
        <v>2030</v>
      </c>
      <c r="E23" s="7" t="s">
        <v>3103</v>
      </c>
      <c r="F23" t="s">
        <v>3010</v>
      </c>
    </row>
    <row r="24" spans="1:6" x14ac:dyDescent="0.25">
      <c r="A24" t="s">
        <v>2995</v>
      </c>
      <c r="B24" t="s">
        <v>2996</v>
      </c>
      <c r="C24" s="12" t="s">
        <v>3011</v>
      </c>
      <c r="D24" t="s">
        <v>1264</v>
      </c>
      <c r="E24" s="7" t="s">
        <v>4480</v>
      </c>
      <c r="F24" t="s">
        <v>64</v>
      </c>
    </row>
    <row r="25" spans="1:6" x14ac:dyDescent="0.25">
      <c r="A25" t="s">
        <v>2966</v>
      </c>
      <c r="B25" t="s">
        <v>2967</v>
      </c>
      <c r="C25" s="12" t="s">
        <v>3012</v>
      </c>
      <c r="D25" t="s">
        <v>1264</v>
      </c>
      <c r="E25" t="s">
        <v>3013</v>
      </c>
    </row>
    <row r="26" spans="1:6" x14ac:dyDescent="0.25">
      <c r="A26" t="s">
        <v>3014</v>
      </c>
      <c r="B26" t="s">
        <v>2967</v>
      </c>
      <c r="C26" s="12" t="s">
        <v>3015</v>
      </c>
      <c r="D26" t="s">
        <v>1264</v>
      </c>
      <c r="E26" s="7" t="s">
        <v>4476</v>
      </c>
      <c r="F26" t="s">
        <v>64</v>
      </c>
    </row>
    <row r="27" spans="1:6" x14ac:dyDescent="0.25">
      <c r="A27" t="s">
        <v>2966</v>
      </c>
      <c r="B27" t="s">
        <v>2967</v>
      </c>
      <c r="C27" s="12" t="s">
        <v>3016</v>
      </c>
      <c r="D27" t="s">
        <v>1264</v>
      </c>
      <c r="E27" s="7" t="s">
        <v>4477</v>
      </c>
      <c r="F27" t="s">
        <v>64</v>
      </c>
    </row>
    <row r="28" spans="1:6" x14ac:dyDescent="0.25">
      <c r="A28" t="s">
        <v>2966</v>
      </c>
      <c r="B28" t="s">
        <v>2967</v>
      </c>
      <c r="C28" s="12" t="s">
        <v>3017</v>
      </c>
      <c r="D28" t="s">
        <v>1264</v>
      </c>
      <c r="E28" t="s">
        <v>3018</v>
      </c>
      <c r="F28" t="s">
        <v>3019</v>
      </c>
    </row>
    <row r="29" spans="1:6" x14ac:dyDescent="0.25">
      <c r="A29" t="s">
        <v>3014</v>
      </c>
      <c r="B29" t="s">
        <v>2967</v>
      </c>
      <c r="C29" s="12" t="s">
        <v>3020</v>
      </c>
      <c r="D29" t="s">
        <v>1264</v>
      </c>
      <c r="E29" s="7" t="s">
        <v>4476</v>
      </c>
      <c r="F29" t="s">
        <v>64</v>
      </c>
    </row>
    <row r="30" spans="1:6" x14ac:dyDescent="0.25">
      <c r="A30" t="s">
        <v>3014</v>
      </c>
      <c r="B30" t="s">
        <v>2967</v>
      </c>
      <c r="C30" s="12" t="s">
        <v>3021</v>
      </c>
      <c r="D30" t="s">
        <v>1264</v>
      </c>
      <c r="E30" s="7" t="s">
        <v>4477</v>
      </c>
      <c r="F30" t="s">
        <v>64</v>
      </c>
    </row>
    <row r="31" spans="1:6" x14ac:dyDescent="0.25">
      <c r="A31" t="s">
        <v>2966</v>
      </c>
      <c r="B31" t="s">
        <v>2967</v>
      </c>
      <c r="C31" s="12" t="s">
        <v>3022</v>
      </c>
      <c r="D31" t="s">
        <v>1264</v>
      </c>
      <c r="E31" s="7" t="s">
        <v>4476</v>
      </c>
      <c r="F31" t="s">
        <v>64</v>
      </c>
    </row>
    <row r="32" spans="1:6" x14ac:dyDescent="0.25">
      <c r="A32" t="s">
        <v>2966</v>
      </c>
      <c r="B32" t="s">
        <v>2967</v>
      </c>
      <c r="C32" t="s">
        <v>4474</v>
      </c>
      <c r="D32" t="s">
        <v>1264</v>
      </c>
      <c r="E32" s="7" t="s">
        <v>4475</v>
      </c>
      <c r="F32" t="s">
        <v>64</v>
      </c>
    </row>
    <row r="33" spans="1:6" x14ac:dyDescent="0.25">
      <c r="A33" t="s">
        <v>3014</v>
      </c>
      <c r="B33" t="s">
        <v>2967</v>
      </c>
      <c r="C33" t="s">
        <v>4474</v>
      </c>
      <c r="D33" t="s">
        <v>1264</v>
      </c>
      <c r="E33" s="7" t="s">
        <v>4475</v>
      </c>
      <c r="F33" t="s">
        <v>64</v>
      </c>
    </row>
    <row r="34" spans="1:6" x14ac:dyDescent="0.25">
      <c r="A34" t="s">
        <v>2966</v>
      </c>
      <c r="B34" t="s">
        <v>2967</v>
      </c>
      <c r="C34" s="12" t="s">
        <v>3023</v>
      </c>
      <c r="D34" t="s">
        <v>1264</v>
      </c>
      <c r="E34" s="7" t="s">
        <v>4476</v>
      </c>
      <c r="F34" t="s">
        <v>64</v>
      </c>
    </row>
    <row r="35" spans="1:6" x14ac:dyDescent="0.25">
      <c r="A35" t="s">
        <v>2966</v>
      </c>
      <c r="B35" t="s">
        <v>2967</v>
      </c>
      <c r="C35" s="12" t="s">
        <v>5160</v>
      </c>
      <c r="D35" t="s">
        <v>1264</v>
      </c>
      <c r="E35" s="7" t="s">
        <v>4476</v>
      </c>
      <c r="F35" t="s">
        <v>64</v>
      </c>
    </row>
    <row r="36" spans="1:6" x14ac:dyDescent="0.25">
      <c r="A36" t="s">
        <v>3014</v>
      </c>
      <c r="B36" t="s">
        <v>2967</v>
      </c>
      <c r="C36" s="12" t="s">
        <v>3023</v>
      </c>
      <c r="D36" t="s">
        <v>1264</v>
      </c>
      <c r="E36" s="7" t="s">
        <v>4476</v>
      </c>
      <c r="F36" t="s">
        <v>64</v>
      </c>
    </row>
    <row r="37" spans="1:6" x14ac:dyDescent="0.25">
      <c r="A37" t="s">
        <v>2966</v>
      </c>
      <c r="B37" t="s">
        <v>2967</v>
      </c>
      <c r="C37" s="12" t="s">
        <v>3024</v>
      </c>
      <c r="D37" t="s">
        <v>1264</v>
      </c>
      <c r="E37" s="7" t="s">
        <v>4477</v>
      </c>
      <c r="F37" t="s">
        <v>64</v>
      </c>
    </row>
    <row r="38" spans="1:6" x14ac:dyDescent="0.25">
      <c r="A38" t="s">
        <v>2966</v>
      </c>
      <c r="B38" t="s">
        <v>2967</v>
      </c>
      <c r="C38" s="12" t="s">
        <v>3025</v>
      </c>
      <c r="D38" t="s">
        <v>1264</v>
      </c>
      <c r="E38" s="7" t="s">
        <v>4476</v>
      </c>
      <c r="F38" t="s">
        <v>64</v>
      </c>
    </row>
    <row r="39" spans="1:6" x14ac:dyDescent="0.25">
      <c r="A39" t="s">
        <v>2966</v>
      </c>
      <c r="B39" t="s">
        <v>2967</v>
      </c>
      <c r="C39" s="12" t="s">
        <v>3026</v>
      </c>
      <c r="D39" t="s">
        <v>1264</v>
      </c>
      <c r="E39" s="7" t="s">
        <v>4476</v>
      </c>
      <c r="F39" t="s">
        <v>64</v>
      </c>
    </row>
    <row r="40" spans="1:6" x14ac:dyDescent="0.25">
      <c r="A40" t="s">
        <v>3027</v>
      </c>
      <c r="B40" t="s">
        <v>2967</v>
      </c>
      <c r="C40" s="12" t="s">
        <v>2030</v>
      </c>
      <c r="E40" s="7" t="s">
        <v>4478</v>
      </c>
      <c r="F40" t="s">
        <v>3028</v>
      </c>
    </row>
    <row r="41" spans="1:6" x14ac:dyDescent="0.25">
      <c r="A41" t="s">
        <v>2966</v>
      </c>
      <c r="B41" t="s">
        <v>2967</v>
      </c>
      <c r="C41" s="12" t="s">
        <v>3029</v>
      </c>
      <c r="D41" t="s">
        <v>1256</v>
      </c>
      <c r="E41" s="7" t="s">
        <v>4479</v>
      </c>
      <c r="F41" t="s">
        <v>64</v>
      </c>
    </row>
    <row r="42" spans="1:6" x14ac:dyDescent="0.25">
      <c r="A42" t="s">
        <v>2966</v>
      </c>
      <c r="B42" t="s">
        <v>2967</v>
      </c>
      <c r="C42" s="12" t="s">
        <v>3030</v>
      </c>
      <c r="D42" t="s">
        <v>1254</v>
      </c>
      <c r="E42" t="s">
        <v>3031</v>
      </c>
      <c r="F42" t="s">
        <v>64</v>
      </c>
    </row>
    <row r="43" spans="1:6" x14ac:dyDescent="0.25">
      <c r="A43" t="s">
        <v>2966</v>
      </c>
      <c r="B43" t="s">
        <v>2967</v>
      </c>
      <c r="C43" s="12" t="s">
        <v>3032</v>
      </c>
      <c r="D43" t="s">
        <v>1254</v>
      </c>
      <c r="E43" s="7" t="s">
        <v>4482</v>
      </c>
      <c r="F43" t="s">
        <v>64</v>
      </c>
    </row>
    <row r="44" spans="1:6" x14ac:dyDescent="0.25">
      <c r="A44" t="s">
        <v>2966</v>
      </c>
      <c r="B44" t="s">
        <v>2967</v>
      </c>
      <c r="C44" s="12" t="s">
        <v>3033</v>
      </c>
      <c r="D44" t="s">
        <v>1264</v>
      </c>
      <c r="E44" s="7" t="s">
        <v>4477</v>
      </c>
      <c r="F44" t="s">
        <v>64</v>
      </c>
    </row>
    <row r="45" spans="1:6" x14ac:dyDescent="0.25">
      <c r="A45" t="s">
        <v>2966</v>
      </c>
      <c r="B45" t="s">
        <v>2967</v>
      </c>
      <c r="C45" s="12" t="s">
        <v>3034</v>
      </c>
      <c r="D45" t="s">
        <v>1264</v>
      </c>
      <c r="E45" s="7" t="s">
        <v>4477</v>
      </c>
      <c r="F45" t="s">
        <v>64</v>
      </c>
    </row>
    <row r="46" spans="1:6" x14ac:dyDescent="0.25">
      <c r="A46" t="s">
        <v>2966</v>
      </c>
      <c r="B46" t="s">
        <v>2967</v>
      </c>
      <c r="C46" s="12" t="s">
        <v>3035</v>
      </c>
      <c r="D46" t="s">
        <v>1264</v>
      </c>
      <c r="E46" t="s">
        <v>3036</v>
      </c>
      <c r="F46" t="s">
        <v>64</v>
      </c>
    </row>
    <row r="47" spans="1:6" x14ac:dyDescent="0.25">
      <c r="A47" t="s">
        <v>2966</v>
      </c>
      <c r="B47" t="s">
        <v>2967</v>
      </c>
      <c r="C47" s="12" t="s">
        <v>3037</v>
      </c>
      <c r="D47" t="s">
        <v>1264</v>
      </c>
      <c r="E47" t="s">
        <v>3038</v>
      </c>
      <c r="F47" t="s">
        <v>64</v>
      </c>
    </row>
    <row r="48" spans="1:6" x14ac:dyDescent="0.25">
      <c r="A48" t="s">
        <v>2966</v>
      </c>
      <c r="B48" t="s">
        <v>2967</v>
      </c>
      <c r="C48" s="12" t="s">
        <v>3039</v>
      </c>
      <c r="D48" t="s">
        <v>1256</v>
      </c>
      <c r="E48" t="s">
        <v>3040</v>
      </c>
      <c r="F48" t="s">
        <v>64</v>
      </c>
    </row>
    <row r="49" spans="1:6" x14ac:dyDescent="0.25">
      <c r="A49" t="s">
        <v>2966</v>
      </c>
      <c r="B49" t="s">
        <v>2967</v>
      </c>
      <c r="C49" s="12" t="s">
        <v>3041</v>
      </c>
      <c r="D49" t="s">
        <v>1240</v>
      </c>
      <c r="E49" t="s">
        <v>3042</v>
      </c>
      <c r="F49" t="s">
        <v>64</v>
      </c>
    </row>
    <row r="50" spans="1:6" x14ac:dyDescent="0.25">
      <c r="A50" t="s">
        <v>2966</v>
      </c>
      <c r="B50" t="s">
        <v>2967</v>
      </c>
      <c r="C50" s="12" t="s">
        <v>3043</v>
      </c>
      <c r="D50" t="s">
        <v>1240</v>
      </c>
      <c r="E50" t="s">
        <v>3042</v>
      </c>
      <c r="F50" t="s">
        <v>64</v>
      </c>
    </row>
    <row r="51" spans="1:6" x14ac:dyDescent="0.25">
      <c r="A51" t="s">
        <v>2966</v>
      </c>
      <c r="B51" t="s">
        <v>2967</v>
      </c>
      <c r="C51" s="12" t="s">
        <v>3044</v>
      </c>
      <c r="D51" t="s">
        <v>1240</v>
      </c>
      <c r="E51" t="s">
        <v>3042</v>
      </c>
      <c r="F51" t="s">
        <v>64</v>
      </c>
    </row>
    <row r="52" spans="1:6" x14ac:dyDescent="0.25">
      <c r="A52" t="s">
        <v>3045</v>
      </c>
      <c r="B52" t="s">
        <v>3046</v>
      </c>
      <c r="C52" s="12" t="s">
        <v>3047</v>
      </c>
      <c r="E52" t="s">
        <v>3048</v>
      </c>
      <c r="F52" t="s">
        <v>3049</v>
      </c>
    </row>
    <row r="53" spans="1:6" x14ac:dyDescent="0.25">
      <c r="A53" t="s">
        <v>2966</v>
      </c>
      <c r="B53" t="s">
        <v>2967</v>
      </c>
      <c r="C53" s="12" t="s">
        <v>3050</v>
      </c>
      <c r="D53" t="s">
        <v>1240</v>
      </c>
      <c r="E53" t="s">
        <v>3051</v>
      </c>
      <c r="F53" t="s">
        <v>2969</v>
      </c>
    </row>
    <row r="54" spans="1:6" x14ac:dyDescent="0.25">
      <c r="A54" t="s">
        <v>2966</v>
      </c>
      <c r="B54" t="s">
        <v>2967</v>
      </c>
      <c r="C54" s="12" t="s">
        <v>3052</v>
      </c>
      <c r="D54" t="s">
        <v>1240</v>
      </c>
      <c r="E54" t="s">
        <v>3053</v>
      </c>
      <c r="F54" t="s">
        <v>3054</v>
      </c>
    </row>
    <row r="55" spans="1:6" x14ac:dyDescent="0.25">
      <c r="A55" t="s">
        <v>3014</v>
      </c>
      <c r="B55" t="s">
        <v>2967</v>
      </c>
      <c r="C55" s="12" t="s">
        <v>3055</v>
      </c>
      <c r="D55" t="s">
        <v>1240</v>
      </c>
      <c r="E55" t="s">
        <v>3056</v>
      </c>
      <c r="F55" t="s">
        <v>3054</v>
      </c>
    </row>
    <row r="56" spans="1:6" x14ac:dyDescent="0.25">
      <c r="A56" t="s">
        <v>2966</v>
      </c>
      <c r="B56" t="s">
        <v>2967</v>
      </c>
      <c r="C56" s="12" t="s">
        <v>3057</v>
      </c>
      <c r="D56" t="s">
        <v>1264</v>
      </c>
      <c r="E56" s="7" t="s">
        <v>4477</v>
      </c>
      <c r="F56" t="s">
        <v>64</v>
      </c>
    </row>
    <row r="57" spans="1:6" x14ac:dyDescent="0.25">
      <c r="A57" t="s">
        <v>2966</v>
      </c>
      <c r="B57" t="s">
        <v>2967</v>
      </c>
      <c r="C57" s="12" t="s">
        <v>3058</v>
      </c>
      <c r="D57" t="s">
        <v>1264</v>
      </c>
      <c r="E57" s="7" t="s">
        <v>4476</v>
      </c>
      <c r="F57" t="s">
        <v>64</v>
      </c>
    </row>
    <row r="58" spans="1:6" x14ac:dyDescent="0.25">
      <c r="A58" t="s">
        <v>3014</v>
      </c>
      <c r="B58" t="s">
        <v>2967</v>
      </c>
      <c r="C58" s="12" t="s">
        <v>3058</v>
      </c>
      <c r="D58" t="s">
        <v>1264</v>
      </c>
      <c r="E58" s="7" t="s">
        <v>4476</v>
      </c>
      <c r="F58" t="s">
        <v>64</v>
      </c>
    </row>
    <row r="59" spans="1:6" x14ac:dyDescent="0.25">
      <c r="A59" t="s">
        <v>2966</v>
      </c>
      <c r="B59" t="s">
        <v>2967</v>
      </c>
      <c r="C59" s="12" t="s">
        <v>3059</v>
      </c>
      <c r="D59" t="s">
        <v>1264</v>
      </c>
      <c r="E59" s="7" t="s">
        <v>4476</v>
      </c>
      <c r="F59" t="s">
        <v>64</v>
      </c>
    </row>
    <row r="60" spans="1:6" x14ac:dyDescent="0.25">
      <c r="A60" t="s">
        <v>2966</v>
      </c>
      <c r="B60" t="s">
        <v>2967</v>
      </c>
      <c r="C60" s="12" t="s">
        <v>3060</v>
      </c>
      <c r="D60" t="s">
        <v>1240</v>
      </c>
      <c r="E60" t="s">
        <v>2994</v>
      </c>
      <c r="F60" t="s">
        <v>2973</v>
      </c>
    </row>
    <row r="61" spans="1:6" ht="30" x14ac:dyDescent="0.25">
      <c r="A61" t="s">
        <v>2966</v>
      </c>
      <c r="B61" t="s">
        <v>2967</v>
      </c>
      <c r="C61" s="12" t="s">
        <v>3061</v>
      </c>
      <c r="D61" t="s">
        <v>1240</v>
      </c>
      <c r="E61" s="7" t="s">
        <v>4483</v>
      </c>
      <c r="F61" t="s">
        <v>2988</v>
      </c>
    </row>
    <row r="62" spans="1:6" x14ac:dyDescent="0.25">
      <c r="A62" t="s">
        <v>2966</v>
      </c>
      <c r="B62" t="s">
        <v>2967</v>
      </c>
      <c r="C62" s="12" t="s">
        <v>3062</v>
      </c>
      <c r="D62" t="s">
        <v>1254</v>
      </c>
      <c r="E62" t="s">
        <v>3063</v>
      </c>
      <c r="F62" t="s">
        <v>64</v>
      </c>
    </row>
    <row r="63" spans="1:6" x14ac:dyDescent="0.25">
      <c r="A63" t="s">
        <v>2966</v>
      </c>
      <c r="B63" t="s">
        <v>2967</v>
      </c>
      <c r="C63" s="12" t="s">
        <v>3064</v>
      </c>
      <c r="D63" t="s">
        <v>1254</v>
      </c>
      <c r="E63" t="s">
        <v>3065</v>
      </c>
      <c r="F63" t="s">
        <v>64</v>
      </c>
    </row>
    <row r="64" spans="1:6" x14ac:dyDescent="0.25">
      <c r="A64" t="s">
        <v>2966</v>
      </c>
      <c r="B64" t="s">
        <v>2967</v>
      </c>
      <c r="C64" t="s">
        <v>3066</v>
      </c>
      <c r="D64" t="s">
        <v>1240</v>
      </c>
      <c r="E64" t="s">
        <v>3067</v>
      </c>
      <c r="F64" t="s">
        <v>3054</v>
      </c>
    </row>
    <row r="65" spans="1:6" ht="30" x14ac:dyDescent="0.25">
      <c r="A65" t="s">
        <v>2966</v>
      </c>
      <c r="B65" t="s">
        <v>2967</v>
      </c>
      <c r="C65" t="s">
        <v>4470</v>
      </c>
      <c r="D65" t="s">
        <v>1264</v>
      </c>
      <c r="E65" s="7" t="s">
        <v>4471</v>
      </c>
      <c r="F65" s="89" t="s">
        <v>4472</v>
      </c>
    </row>
    <row r="66" spans="1:6" x14ac:dyDescent="0.25">
      <c r="A66" t="s">
        <v>2966</v>
      </c>
      <c r="B66" t="s">
        <v>2967</v>
      </c>
      <c r="C66" t="s">
        <v>4501</v>
      </c>
      <c r="D66" t="s">
        <v>1240</v>
      </c>
      <c r="E66" s="89" t="s">
        <v>3051</v>
      </c>
      <c r="F66" s="91" t="s">
        <v>64</v>
      </c>
    </row>
    <row r="67" spans="1:6" x14ac:dyDescent="0.25">
      <c r="A67" t="s">
        <v>2966</v>
      </c>
      <c r="B67" t="s">
        <v>2967</v>
      </c>
      <c r="C67" t="s">
        <v>4502</v>
      </c>
      <c r="D67" t="s">
        <v>1240</v>
      </c>
      <c r="E67" s="89" t="s">
        <v>3051</v>
      </c>
      <c r="F67" s="91" t="s">
        <v>64</v>
      </c>
    </row>
    <row r="68" spans="1:6" x14ac:dyDescent="0.25">
      <c r="A68" t="s">
        <v>2966</v>
      </c>
      <c r="B68" t="s">
        <v>2967</v>
      </c>
      <c r="C68" t="s">
        <v>5068</v>
      </c>
      <c r="D68" t="s">
        <v>5069</v>
      </c>
      <c r="E68" s="89" t="s">
        <v>5070</v>
      </c>
      <c r="F68" t="s">
        <v>5071</v>
      </c>
    </row>
    <row r="69" spans="1:6" x14ac:dyDescent="0.25">
      <c r="A69" t="s">
        <v>3014</v>
      </c>
      <c r="B69" t="s">
        <v>2967</v>
      </c>
      <c r="C69" t="s">
        <v>5068</v>
      </c>
      <c r="D69" t="s">
        <v>5069</v>
      </c>
      <c r="E69" s="89" t="s">
        <v>5070</v>
      </c>
      <c r="F69" t="s">
        <v>5071</v>
      </c>
    </row>
    <row r="70" spans="1:6" x14ac:dyDescent="0.25">
      <c r="A70" t="s">
        <v>2966</v>
      </c>
      <c r="B70" t="s">
        <v>2967</v>
      </c>
      <c r="C70" t="s">
        <v>5083</v>
      </c>
      <c r="D70" t="s">
        <v>5069</v>
      </c>
      <c r="E70" s="89" t="s">
        <v>5084</v>
      </c>
      <c r="F70" t="s">
        <v>5071</v>
      </c>
    </row>
    <row r="71" spans="1:6" x14ac:dyDescent="0.25">
      <c r="A71" t="s">
        <v>3014</v>
      </c>
      <c r="B71" t="s">
        <v>2967</v>
      </c>
      <c r="C71" t="s">
        <v>5083</v>
      </c>
      <c r="D71" t="s">
        <v>5069</v>
      </c>
      <c r="E71" s="89" t="s">
        <v>5084</v>
      </c>
      <c r="F71" t="s">
        <v>5071</v>
      </c>
    </row>
    <row r="72" spans="1:6" x14ac:dyDescent="0.25">
      <c r="A72" t="s">
        <v>3014</v>
      </c>
      <c r="B72" t="s">
        <v>2967</v>
      </c>
      <c r="C72" t="s">
        <v>5085</v>
      </c>
      <c r="D72" t="s">
        <v>5069</v>
      </c>
      <c r="E72" s="89" t="s">
        <v>5086</v>
      </c>
    </row>
  </sheetData>
  <conditionalFormatting sqref="C65 C3:C34 C68:C71 C73:C1048576 C36:C63">
    <cfRule type="duplicateValues" dxfId="4" priority="6"/>
  </conditionalFormatting>
  <conditionalFormatting sqref="C53 C32 C4:C18 E53 C55:C56 C68:C71 C73:C1048576">
    <cfRule type="duplicateValues" dxfId="3" priority="104"/>
  </conditionalFormatting>
  <conditionalFormatting sqref="C33">
    <cfRule type="duplicateValues" dxfId="2" priority="3"/>
  </conditionalFormatting>
  <conditionalFormatting sqref="C66:C67">
    <cfRule type="duplicateValues" dxfId="1" priority="2"/>
  </conditionalFormatting>
  <conditionalFormatting sqref="C35">
    <cfRule type="duplicateValues" dxfId="0" priority="1"/>
  </conditionalFormatting>
  <hyperlinks>
    <hyperlink ref="A1" location="contents!A1" display="Contents" xr:uid="{00000000-0004-0000-1700-000000000000}"/>
    <hyperlink ref="B1" location="contents!A1" display="Contents" xr:uid="{00000000-0004-0000-1700-000001000000}"/>
    <hyperlink ref="C1" location="contents!A1" display="Contents" xr:uid="{00000000-0004-0000-1700-000002000000}"/>
    <hyperlink ref="D1" location="contents!A1" display="Contents" xr:uid="{00000000-0004-0000-1700-000003000000}"/>
    <hyperlink ref="E1" location="contents!A1" display="Contents" xr:uid="{00000000-0004-0000-1700-000004000000}"/>
    <hyperlink ref="F1" location="contents!A1" display="Contents" xr:uid="{00000000-0004-0000-1700-000005000000}"/>
  </hyperlinks>
  <pageMargins left="0.7" right="0.7" top="0.75" bottom="0.75" header="0.511811023622047" footer="0.511811023622047"/>
  <pageSetup paperSize="9"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61"/>
  <sheetViews>
    <sheetView zoomScaleNormal="100" workbookViewId="0">
      <selection activeCell="C27" sqref="C27"/>
    </sheetView>
  </sheetViews>
  <sheetFormatPr defaultColWidth="8.7109375" defaultRowHeight="15" x14ac:dyDescent="0.25"/>
  <cols>
    <col min="1" max="1" width="57.85546875" customWidth="1"/>
    <col min="2" max="2" width="74.28515625" customWidth="1"/>
    <col min="3" max="3" width="128.5703125" customWidth="1"/>
    <col min="4" max="4" width="28.7109375" customWidth="1"/>
    <col min="5" max="5" width="149" customWidth="1"/>
    <col min="6" max="6" width="147.85546875" customWidth="1"/>
  </cols>
  <sheetData>
    <row r="1" spans="1:6" x14ac:dyDescent="0.25">
      <c r="A1" s="2" t="s">
        <v>0</v>
      </c>
    </row>
    <row r="2" spans="1:6" x14ac:dyDescent="0.25">
      <c r="A2" s="1" t="s">
        <v>43</v>
      </c>
    </row>
    <row r="3" spans="1:6" x14ac:dyDescent="0.25">
      <c r="A3" s="1" t="s">
        <v>1287</v>
      </c>
      <c r="B3" s="1" t="s">
        <v>1293</v>
      </c>
      <c r="C3" s="1" t="s">
        <v>2963</v>
      </c>
      <c r="D3" s="1" t="s">
        <v>2964</v>
      </c>
      <c r="E3" s="1" t="s">
        <v>1</v>
      </c>
      <c r="F3" s="72" t="s">
        <v>2965</v>
      </c>
    </row>
    <row r="4" spans="1:6" ht="30" x14ac:dyDescent="0.25">
      <c r="A4" s="7" t="s">
        <v>3068</v>
      </c>
      <c r="B4" s="7" t="s">
        <v>3046</v>
      </c>
      <c r="C4" s="7" t="s">
        <v>3069</v>
      </c>
      <c r="E4" s="15" t="s">
        <v>3070</v>
      </c>
      <c r="F4" s="7" t="s">
        <v>3071</v>
      </c>
    </row>
    <row r="5" spans="1:6" ht="60" x14ac:dyDescent="0.25">
      <c r="A5" s="7" t="s">
        <v>3072</v>
      </c>
      <c r="B5" s="7" t="s">
        <v>2967</v>
      </c>
      <c r="C5" s="7" t="s">
        <v>3073</v>
      </c>
      <c r="D5" s="15"/>
      <c r="E5" s="7" t="s">
        <v>3074</v>
      </c>
      <c r="F5" s="7" t="s">
        <v>3075</v>
      </c>
    </row>
    <row r="6" spans="1:6" ht="60" x14ac:dyDescent="0.25">
      <c r="A6" s="7" t="s">
        <v>2970</v>
      </c>
      <c r="B6" s="7" t="s">
        <v>2967</v>
      </c>
      <c r="C6" s="7" t="s">
        <v>3076</v>
      </c>
      <c r="D6" s="15"/>
      <c r="E6" s="7" t="s">
        <v>3077</v>
      </c>
      <c r="F6" s="7" t="s">
        <v>3078</v>
      </c>
    </row>
    <row r="7" spans="1:6" ht="30" x14ac:dyDescent="0.25">
      <c r="A7" s="7" t="s">
        <v>3045</v>
      </c>
      <c r="B7" s="7" t="s">
        <v>3046</v>
      </c>
      <c r="C7" s="7" t="s">
        <v>3079</v>
      </c>
      <c r="D7" s="15"/>
      <c r="E7" s="7" t="s">
        <v>3048</v>
      </c>
      <c r="F7" s="7" t="s">
        <v>3049</v>
      </c>
    </row>
    <row r="8" spans="1:6" x14ac:dyDescent="0.25">
      <c r="A8" s="7" t="s">
        <v>3080</v>
      </c>
      <c r="B8" s="7" t="s">
        <v>2967</v>
      </c>
      <c r="C8" s="7"/>
      <c r="D8" s="15"/>
    </row>
    <row r="9" spans="1:6" x14ac:dyDescent="0.25">
      <c r="A9" s="7" t="s">
        <v>3081</v>
      </c>
      <c r="B9" s="7" t="s">
        <v>2967</v>
      </c>
      <c r="C9" s="7" t="s">
        <v>3082</v>
      </c>
      <c r="D9" s="15"/>
      <c r="E9" s="7" t="s">
        <v>3083</v>
      </c>
      <c r="F9" s="7" t="s">
        <v>3084</v>
      </c>
    </row>
    <row r="10" spans="1:6" x14ac:dyDescent="0.25">
      <c r="A10" s="7" t="s">
        <v>3085</v>
      </c>
      <c r="B10" s="7" t="s">
        <v>2967</v>
      </c>
      <c r="C10" s="7" t="s">
        <v>3086</v>
      </c>
      <c r="D10" s="15"/>
      <c r="E10" s="7" t="s">
        <v>3087</v>
      </c>
      <c r="F10" s="7" t="s">
        <v>3088</v>
      </c>
    </row>
    <row r="11" spans="1:6" ht="30" x14ac:dyDescent="0.25">
      <c r="A11" s="7" t="s">
        <v>3089</v>
      </c>
      <c r="B11" s="7" t="s">
        <v>2967</v>
      </c>
      <c r="C11" s="7" t="s">
        <v>3090</v>
      </c>
      <c r="D11" s="15"/>
      <c r="E11" s="15" t="s">
        <v>3091</v>
      </c>
      <c r="F11" s="7" t="s">
        <v>3092</v>
      </c>
    </row>
    <row r="12" spans="1:6" ht="45" x14ac:dyDescent="0.25">
      <c r="A12" s="7" t="s">
        <v>2974</v>
      </c>
      <c r="B12" s="7" t="s">
        <v>2967</v>
      </c>
      <c r="C12" s="7" t="s">
        <v>3093</v>
      </c>
      <c r="D12" s="15"/>
      <c r="E12" s="7" t="s">
        <v>3094</v>
      </c>
      <c r="F12" s="7" t="s">
        <v>3095</v>
      </c>
    </row>
    <row r="13" spans="1:6" ht="30" x14ac:dyDescent="0.25">
      <c r="A13" s="7" t="s">
        <v>3027</v>
      </c>
      <c r="B13" s="7" t="s">
        <v>2967</v>
      </c>
      <c r="C13" s="7" t="s">
        <v>3096</v>
      </c>
      <c r="D13" s="15"/>
      <c r="E13" s="7" t="s">
        <v>3097</v>
      </c>
      <c r="F13" s="7" t="s">
        <v>3028</v>
      </c>
    </row>
    <row r="14" spans="1:6" x14ac:dyDescent="0.25">
      <c r="A14" s="7" t="s">
        <v>3098</v>
      </c>
      <c r="B14" s="7" t="s">
        <v>2967</v>
      </c>
      <c r="C14" s="7" t="s">
        <v>3099</v>
      </c>
      <c r="D14" s="15"/>
      <c r="E14" s="7" t="s">
        <v>3100</v>
      </c>
      <c r="F14" s="7" t="s">
        <v>3101</v>
      </c>
    </row>
    <row r="15" spans="1:6" x14ac:dyDescent="0.25">
      <c r="A15" s="7" t="s">
        <v>3009</v>
      </c>
      <c r="B15" s="7" t="s">
        <v>2967</v>
      </c>
      <c r="C15" s="7" t="s">
        <v>3102</v>
      </c>
      <c r="D15" s="15"/>
      <c r="E15" s="7" t="s">
        <v>3103</v>
      </c>
      <c r="F15" s="7" t="s">
        <v>3010</v>
      </c>
    </row>
    <row r="16" spans="1:6" x14ac:dyDescent="0.25">
      <c r="A16" s="7" t="s">
        <v>3104</v>
      </c>
      <c r="B16" s="7" t="s">
        <v>2967</v>
      </c>
      <c r="C16" s="7" t="s">
        <v>3105</v>
      </c>
      <c r="D16" s="15"/>
      <c r="E16" s="7" t="s">
        <v>3106</v>
      </c>
      <c r="F16" s="7" t="s">
        <v>3107</v>
      </c>
    </row>
    <row r="17" spans="1:6" x14ac:dyDescent="0.25">
      <c r="A17" s="7" t="s">
        <v>3108</v>
      </c>
      <c r="B17" s="7" t="s">
        <v>2967</v>
      </c>
      <c r="C17" s="7" t="s">
        <v>3109</v>
      </c>
      <c r="D17" s="7"/>
      <c r="E17" s="7" t="s">
        <v>3110</v>
      </c>
      <c r="F17" s="7" t="s">
        <v>3111</v>
      </c>
    </row>
    <row r="18" spans="1:6" x14ac:dyDescent="0.25">
      <c r="A18" s="7" t="s">
        <v>3112</v>
      </c>
      <c r="B18" s="7" t="s">
        <v>2967</v>
      </c>
      <c r="C18" s="7" t="s">
        <v>3113</v>
      </c>
      <c r="D18" s="15"/>
      <c r="E18" t="s">
        <v>3114</v>
      </c>
      <c r="F18" t="s">
        <v>3115</v>
      </c>
    </row>
    <row r="19" spans="1:6" x14ac:dyDescent="0.25">
      <c r="A19" s="7" t="s">
        <v>3116</v>
      </c>
      <c r="B19" s="7" t="s">
        <v>2996</v>
      </c>
      <c r="C19" s="7" t="s">
        <v>3117</v>
      </c>
      <c r="D19" s="15"/>
      <c r="E19" s="7" t="s">
        <v>3118</v>
      </c>
      <c r="F19" t="s">
        <v>64</v>
      </c>
    </row>
    <row r="20" spans="1:6" ht="30" x14ac:dyDescent="0.25">
      <c r="A20" s="7" t="s">
        <v>3119</v>
      </c>
      <c r="B20" s="7" t="s">
        <v>3120</v>
      </c>
      <c r="C20" s="7" t="s">
        <v>3121</v>
      </c>
      <c r="D20" s="15"/>
      <c r="E20" s="7" t="s">
        <v>3122</v>
      </c>
      <c r="F20" s="7" t="s">
        <v>3123</v>
      </c>
    </row>
    <row r="21" spans="1:6" ht="30" x14ac:dyDescent="0.25">
      <c r="A21" s="7" t="s">
        <v>3124</v>
      </c>
      <c r="B21" s="7" t="s">
        <v>3120</v>
      </c>
      <c r="C21" s="7" t="s">
        <v>3125</v>
      </c>
      <c r="D21" s="15"/>
      <c r="E21" s="7" t="s">
        <v>3126</v>
      </c>
      <c r="F21" s="7" t="s">
        <v>3127</v>
      </c>
    </row>
    <row r="22" spans="1:6" x14ac:dyDescent="0.25">
      <c r="A22" s="7" t="s">
        <v>4462</v>
      </c>
      <c r="B22" t="s">
        <v>2967</v>
      </c>
      <c r="C22" t="s">
        <v>4465</v>
      </c>
      <c r="E22" t="s">
        <v>4463</v>
      </c>
      <c r="F22" t="s">
        <v>4464</v>
      </c>
    </row>
    <row r="23" spans="1:6" ht="30" x14ac:dyDescent="0.25">
      <c r="A23" s="7" t="s">
        <v>4466</v>
      </c>
      <c r="B23" t="s">
        <v>2967</v>
      </c>
      <c r="C23" t="s">
        <v>4467</v>
      </c>
      <c r="D23" s="15"/>
      <c r="E23" s="7" t="s">
        <v>4468</v>
      </c>
      <c r="F23" s="7" t="s">
        <v>4469</v>
      </c>
    </row>
    <row r="24" spans="1:6" x14ac:dyDescent="0.25">
      <c r="A24" t="s">
        <v>4498</v>
      </c>
      <c r="B24" t="s">
        <v>2967</v>
      </c>
      <c r="C24" t="s">
        <v>4499</v>
      </c>
      <c r="D24" s="15"/>
      <c r="E24" s="7" t="s">
        <v>4500</v>
      </c>
      <c r="F24" s="90" t="s">
        <v>64</v>
      </c>
    </row>
    <row r="25" spans="1:6" ht="30" x14ac:dyDescent="0.25">
      <c r="A25" t="s">
        <v>5097</v>
      </c>
      <c r="B25" t="s">
        <v>2967</v>
      </c>
      <c r="C25" t="s">
        <v>5095</v>
      </c>
      <c r="D25" s="15"/>
      <c r="E25" s="7" t="s">
        <v>5096</v>
      </c>
      <c r="F25" s="89" t="s">
        <v>4469</v>
      </c>
    </row>
    <row r="26" spans="1:6" ht="30" x14ac:dyDescent="0.25">
      <c r="A26" t="s">
        <v>5094</v>
      </c>
      <c r="B26" t="s">
        <v>2967</v>
      </c>
      <c r="C26" t="s">
        <v>5098</v>
      </c>
      <c r="D26" s="15"/>
      <c r="E26" s="7" t="s">
        <v>5096</v>
      </c>
      <c r="F26" s="89" t="s">
        <v>4469</v>
      </c>
    </row>
    <row r="27" spans="1:6" ht="60" x14ac:dyDescent="0.25">
      <c r="A27" t="s">
        <v>5099</v>
      </c>
      <c r="B27" t="s">
        <v>3120</v>
      </c>
      <c r="C27" t="s">
        <v>5101</v>
      </c>
      <c r="D27" s="15"/>
      <c r="E27" s="7" t="s">
        <v>5102</v>
      </c>
      <c r="F27" s="7" t="s">
        <v>5103</v>
      </c>
    </row>
    <row r="28" spans="1:6" ht="30" x14ac:dyDescent="0.25">
      <c r="A28" t="s">
        <v>5110</v>
      </c>
      <c r="B28" t="s">
        <v>3120</v>
      </c>
      <c r="C28" t="s">
        <v>5112</v>
      </c>
      <c r="D28" s="15"/>
      <c r="E28" s="7" t="s">
        <v>5113</v>
      </c>
      <c r="F28" s="7" t="s">
        <v>5114</v>
      </c>
    </row>
    <row r="29" spans="1:6" x14ac:dyDescent="0.25">
      <c r="A29" t="s">
        <v>5125</v>
      </c>
      <c r="B29" t="s">
        <v>3120</v>
      </c>
      <c r="C29" t="s">
        <v>5127</v>
      </c>
      <c r="D29" s="15"/>
      <c r="E29" s="7" t="s">
        <v>5129</v>
      </c>
      <c r="F29" s="7" t="s">
        <v>5131</v>
      </c>
    </row>
    <row r="30" spans="1:6" x14ac:dyDescent="0.25">
      <c r="A30" t="s">
        <v>5126</v>
      </c>
      <c r="B30" t="s">
        <v>3120</v>
      </c>
      <c r="C30" t="s">
        <v>5128</v>
      </c>
      <c r="D30" s="15"/>
      <c r="E30" s="7" t="s">
        <v>5130</v>
      </c>
      <c r="F30" s="7" t="s">
        <v>5131</v>
      </c>
    </row>
    <row r="31" spans="1:6" x14ac:dyDescent="0.25">
      <c r="A31" s="15"/>
      <c r="B31" s="15"/>
      <c r="C31" s="15"/>
      <c r="D31" s="15"/>
    </row>
    <row r="32" spans="1:6" x14ac:dyDescent="0.25">
      <c r="A32" s="15"/>
      <c r="B32" s="15"/>
      <c r="C32" s="15"/>
      <c r="D32" s="15"/>
    </row>
    <row r="33" spans="1:4" x14ac:dyDescent="0.25">
      <c r="A33" s="15"/>
      <c r="B33" s="15"/>
      <c r="C33" s="15"/>
      <c r="D33" s="15"/>
    </row>
    <row r="34" spans="1:4" x14ac:dyDescent="0.25">
      <c r="A34" s="15"/>
      <c r="B34" s="15"/>
      <c r="C34" s="15"/>
      <c r="D34" s="15"/>
    </row>
    <row r="35" spans="1:4" x14ac:dyDescent="0.25">
      <c r="A35" s="15"/>
      <c r="B35" s="15"/>
      <c r="C35" s="15"/>
      <c r="D35" s="15"/>
    </row>
    <row r="36" spans="1:4" x14ac:dyDescent="0.25">
      <c r="A36" s="15"/>
      <c r="B36" s="15"/>
      <c r="C36" s="15"/>
      <c r="D36" s="15"/>
    </row>
    <row r="37" spans="1:4" x14ac:dyDescent="0.25">
      <c r="A37" s="15"/>
      <c r="B37" s="15"/>
      <c r="C37" s="15"/>
      <c r="D37" s="15"/>
    </row>
    <row r="38" spans="1:4" x14ac:dyDescent="0.25">
      <c r="A38" s="15"/>
      <c r="B38" s="15"/>
      <c r="C38" s="15"/>
      <c r="D38" s="15"/>
    </row>
    <row r="39" spans="1:4" x14ac:dyDescent="0.25">
      <c r="A39" s="15"/>
      <c r="B39" s="15"/>
      <c r="C39" s="15"/>
      <c r="D39" s="15"/>
    </row>
    <row r="40" spans="1:4" x14ac:dyDescent="0.25">
      <c r="A40" s="15"/>
      <c r="B40" s="15"/>
      <c r="C40" s="15"/>
      <c r="D40" s="15"/>
    </row>
    <row r="41" spans="1:4" x14ac:dyDescent="0.25">
      <c r="A41" s="15"/>
      <c r="B41" s="15"/>
      <c r="C41" s="15"/>
      <c r="D41" s="15"/>
    </row>
    <row r="42" spans="1:4" x14ac:dyDescent="0.25">
      <c r="A42" s="15"/>
      <c r="B42" s="15"/>
      <c r="C42" s="15"/>
      <c r="D42" s="15"/>
    </row>
    <row r="43" spans="1:4" x14ac:dyDescent="0.25">
      <c r="A43" s="15"/>
      <c r="B43" s="15"/>
      <c r="C43" s="15"/>
      <c r="D43" s="15"/>
    </row>
    <row r="50" spans="1:4" x14ac:dyDescent="0.25">
      <c r="A50" s="15"/>
      <c r="B50" s="15"/>
      <c r="C50" s="15"/>
    </row>
    <row r="51" spans="1:4" x14ac:dyDescent="0.25">
      <c r="A51" s="15"/>
      <c r="B51" s="15"/>
      <c r="C51" s="15"/>
      <c r="D51" s="15"/>
    </row>
    <row r="52" spans="1:4" x14ac:dyDescent="0.25">
      <c r="A52" s="15"/>
      <c r="B52" s="15"/>
      <c r="C52" s="15"/>
      <c r="D52" s="15"/>
    </row>
    <row r="53" spans="1:4" x14ac:dyDescent="0.25">
      <c r="A53" s="15"/>
      <c r="B53" s="15"/>
      <c r="C53" s="15"/>
      <c r="D53" s="15"/>
    </row>
    <row r="54" spans="1:4" x14ac:dyDescent="0.25">
      <c r="A54" s="15"/>
      <c r="B54" s="15"/>
      <c r="C54" s="15"/>
      <c r="D54" s="15"/>
    </row>
    <row r="55" spans="1:4" x14ac:dyDescent="0.25">
      <c r="A55" s="15"/>
      <c r="B55" s="15"/>
      <c r="C55" s="15"/>
      <c r="D55" s="15"/>
    </row>
    <row r="56" spans="1:4" x14ac:dyDescent="0.25">
      <c r="A56" s="15"/>
      <c r="B56" s="15"/>
      <c r="C56" s="15"/>
      <c r="D56" s="15"/>
    </row>
    <row r="57" spans="1:4" x14ac:dyDescent="0.25">
      <c r="A57" s="15"/>
      <c r="B57" s="15"/>
      <c r="C57" s="15"/>
      <c r="D57" s="15"/>
    </row>
    <row r="58" spans="1:4" x14ac:dyDescent="0.25">
      <c r="A58" s="15"/>
      <c r="B58" s="15"/>
      <c r="C58" s="15"/>
      <c r="D58" s="15"/>
    </row>
    <row r="59" spans="1:4" x14ac:dyDescent="0.25">
      <c r="A59" s="15"/>
      <c r="B59" s="15"/>
      <c r="C59" s="15"/>
      <c r="D59" s="15"/>
    </row>
    <row r="60" spans="1:4" x14ac:dyDescent="0.25">
      <c r="A60" s="15"/>
      <c r="B60" s="15"/>
      <c r="C60" s="15"/>
      <c r="D60" s="15"/>
    </row>
    <row r="61" spans="1:4" x14ac:dyDescent="0.25">
      <c r="A61" s="15"/>
      <c r="B61" s="15"/>
      <c r="C61" s="15"/>
      <c r="D61" s="15"/>
    </row>
  </sheetData>
  <phoneticPr fontId="15" type="noConversion"/>
  <hyperlinks>
    <hyperlink ref="A1" location="contents!A1" display="Contents" xr:uid="{00000000-0004-0000-1800-000000000000}"/>
  </hyperlinks>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91EB1-743A-4EB0-8CA9-D92D8C0FFFD2}">
  <dimension ref="A1:L17"/>
  <sheetViews>
    <sheetView workbookViewId="0"/>
  </sheetViews>
  <sheetFormatPr defaultRowHeight="15" x14ac:dyDescent="0.25"/>
  <cols>
    <col min="1" max="1" width="33.42578125" customWidth="1"/>
    <col min="2" max="2" width="26.85546875" customWidth="1"/>
    <col min="3" max="3" width="27.42578125" customWidth="1"/>
    <col min="4" max="4" width="25.140625" customWidth="1"/>
    <col min="5" max="5" width="17.140625" customWidth="1"/>
    <col min="6" max="6" width="20" customWidth="1"/>
    <col min="7" max="7" width="21.140625" customWidth="1"/>
    <col min="8" max="8" width="30.5703125" customWidth="1"/>
    <col min="9" max="9" width="17.140625" customWidth="1"/>
  </cols>
  <sheetData>
    <row r="1" spans="1:12" x14ac:dyDescent="0.25">
      <c r="A1" s="2" t="s">
        <v>0</v>
      </c>
    </row>
    <row r="2" spans="1:12" x14ac:dyDescent="0.25">
      <c r="A2" s="81" t="s">
        <v>4387</v>
      </c>
    </row>
    <row r="3" spans="1:12" x14ac:dyDescent="0.25">
      <c r="A3" s="1" t="s">
        <v>1295</v>
      </c>
      <c r="B3" s="1" t="s">
        <v>1296</v>
      </c>
      <c r="C3" s="1" t="s">
        <v>1297</v>
      </c>
      <c r="D3" s="1" t="s">
        <v>1298</v>
      </c>
      <c r="E3" s="1" t="s">
        <v>885</v>
      </c>
      <c r="F3" s="1" t="s">
        <v>886</v>
      </c>
      <c r="G3" s="1" t="s">
        <v>887</v>
      </c>
      <c r="H3" s="1" t="s">
        <v>888</v>
      </c>
      <c r="I3" s="1" t="s">
        <v>889</v>
      </c>
      <c r="J3" s="1" t="s">
        <v>1299</v>
      </c>
      <c r="K3" s="1" t="s">
        <v>1277</v>
      </c>
      <c r="L3" s="1" t="s">
        <v>1278</v>
      </c>
    </row>
    <row r="5" spans="1:12" x14ac:dyDescent="0.25">
      <c r="E5">
        <v>0</v>
      </c>
      <c r="F5" t="s">
        <v>4376</v>
      </c>
      <c r="H5" t="s">
        <v>4377</v>
      </c>
    </row>
    <row r="7" spans="1:12" x14ac:dyDescent="0.25">
      <c r="E7">
        <v>1</v>
      </c>
      <c r="F7" t="s">
        <v>1188</v>
      </c>
      <c r="H7" t="s">
        <v>4378</v>
      </c>
    </row>
    <row r="9" spans="1:12" x14ac:dyDescent="0.25">
      <c r="E9">
        <v>2</v>
      </c>
      <c r="F9" t="s">
        <v>1066</v>
      </c>
      <c r="H9" t="s">
        <v>4379</v>
      </c>
    </row>
    <row r="11" spans="1:12" x14ac:dyDescent="0.25">
      <c r="E11">
        <v>3</v>
      </c>
      <c r="F11" t="s">
        <v>4380</v>
      </c>
      <c r="H11" t="s">
        <v>4381</v>
      </c>
    </row>
    <row r="13" spans="1:12" x14ac:dyDescent="0.25">
      <c r="E13">
        <v>4</v>
      </c>
      <c r="F13" t="s">
        <v>3748</v>
      </c>
      <c r="H13" t="s">
        <v>4382</v>
      </c>
    </row>
    <row r="15" spans="1:12" x14ac:dyDescent="0.25">
      <c r="E15">
        <v>5</v>
      </c>
      <c r="F15" t="s">
        <v>4383</v>
      </c>
      <c r="H15" t="s">
        <v>4384</v>
      </c>
    </row>
    <row r="17" spans="5:8" x14ac:dyDescent="0.25">
      <c r="E17">
        <v>6</v>
      </c>
      <c r="F17" t="s">
        <v>4385</v>
      </c>
      <c r="H17" t="s">
        <v>4386</v>
      </c>
    </row>
  </sheetData>
  <hyperlinks>
    <hyperlink ref="A1" location="contents!A1" display="Contents" xr:uid="{0D4EBA62-9BE3-41D2-A359-88BB90BABFEA}"/>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106"/>
  <sheetViews>
    <sheetView topLeftCell="A52" zoomScaleNormal="100" workbookViewId="0">
      <selection activeCell="C80" sqref="C80"/>
    </sheetView>
  </sheetViews>
  <sheetFormatPr defaultColWidth="8.7109375" defaultRowHeight="15" x14ac:dyDescent="0.25"/>
  <cols>
    <col min="1" max="2" width="55.42578125" customWidth="1"/>
    <col min="3" max="4" width="80.5703125" style="12" customWidth="1"/>
    <col min="5" max="5" width="40.7109375" customWidth="1"/>
    <col min="8" max="8" width="47.140625" customWidth="1"/>
    <col min="18" max="18" width="72.42578125" customWidth="1"/>
  </cols>
  <sheetData>
    <row r="1" spans="1:10" x14ac:dyDescent="0.25">
      <c r="A1" s="2"/>
    </row>
    <row r="2" spans="1:10" x14ac:dyDescent="0.25">
      <c r="A2" s="1" t="s">
        <v>47</v>
      </c>
      <c r="C2" s="2"/>
      <c r="D2" s="2"/>
    </row>
    <row r="3" spans="1:10" x14ac:dyDescent="0.25">
      <c r="A3" s="39" t="s">
        <v>3128</v>
      </c>
      <c r="B3" s="39"/>
      <c r="C3" s="2" t="str">
        <f>HYPERLINK("[san_automation_info.xlsx]customer_report!A3","Blade_шасси_eng")</f>
        <v>Blade_шасси_eng</v>
      </c>
      <c r="D3" s="12" t="str">
        <f t="shared" ref="D3:D34" si="0">CONCATENATE("=HYPERLINK(","""[san_automation_info.xlsx]customer_report!",E3,"""",";","""",A3,"""", ")")</f>
        <v>=HYPERLINK("[san_automation_info.xlsx]customer_report!A3";"Blade_шасси_eng")</v>
      </c>
      <c r="E3" t="str">
        <f t="shared" ref="E3:E34" si="1">CONCATENATE(F3,G3,"3")</f>
        <v>A3</v>
      </c>
      <c r="G3" t="str">
        <f t="shared" ref="G3:G28" si="2">CHAR(ROW(H65))</f>
        <v>A</v>
      </c>
      <c r="J3" t="s">
        <v>3129</v>
      </c>
    </row>
    <row r="4" spans="1:10" x14ac:dyDescent="0.25">
      <c r="A4" s="39" t="s">
        <v>3130</v>
      </c>
      <c r="B4" s="39"/>
      <c r="C4" s="2" t="str">
        <f>HYPERLINK("[san_automation_info.xlsx]customer_report!B3","Blade_шасси_ru")</f>
        <v>Blade_шасси_ru</v>
      </c>
      <c r="D4" s="12" t="str">
        <f t="shared" si="0"/>
        <v>=HYPERLINK("[san_automation_info.xlsx]customer_report!B3";"Blade_шасси_ru")</v>
      </c>
      <c r="E4" t="str">
        <f t="shared" si="1"/>
        <v>B3</v>
      </c>
      <c r="G4" t="str">
        <f t="shared" si="2"/>
        <v>B</v>
      </c>
      <c r="J4" t="s">
        <v>3131</v>
      </c>
    </row>
    <row r="5" spans="1:10" x14ac:dyDescent="0.25">
      <c r="A5" s="64" t="s">
        <v>3132</v>
      </c>
      <c r="B5" s="64"/>
      <c r="C5" s="2" t="str">
        <f>HYPERLINK("[san_automation_info.xlsx]customer_report!C3","Коммутаторы_eng")</f>
        <v>Коммутаторы_eng</v>
      </c>
      <c r="D5" s="12" t="str">
        <f t="shared" si="0"/>
        <v>=HYPERLINK("[san_automation_info.xlsx]customer_report!C3";"Коммутаторы_eng")</v>
      </c>
      <c r="E5" t="str">
        <f t="shared" si="1"/>
        <v>C3</v>
      </c>
      <c r="G5" t="str">
        <f t="shared" si="2"/>
        <v>C</v>
      </c>
    </row>
    <row r="6" spans="1:10" x14ac:dyDescent="0.25">
      <c r="A6" s="64" t="s">
        <v>3133</v>
      </c>
      <c r="B6" s="64"/>
      <c r="C6" s="2" t="str">
        <f>HYPERLINK("[san_automation_info.xlsx]customer_report!D3","Коммутаторы_ru")</f>
        <v>Коммутаторы_ru</v>
      </c>
      <c r="D6" s="12" t="str">
        <f t="shared" si="0"/>
        <v>=HYPERLINK("[san_automation_info.xlsx]customer_report!D3";"Коммутаторы_ru")</v>
      </c>
      <c r="E6" t="str">
        <f t="shared" si="1"/>
        <v>D3</v>
      </c>
      <c r="G6" t="str">
        <f t="shared" si="2"/>
        <v>D</v>
      </c>
    </row>
    <row r="7" spans="1:10" x14ac:dyDescent="0.25">
      <c r="A7" s="20" t="s">
        <v>3134</v>
      </c>
      <c r="B7" s="20"/>
      <c r="C7" s="2" t="str">
        <f>HYPERLINK("[san_automation_info.xlsx]customer_report!E3","Фабрика_eng")</f>
        <v>Фабрика_eng</v>
      </c>
      <c r="D7" s="12" t="str">
        <f t="shared" si="0"/>
        <v>=HYPERLINK("[san_automation_info.xlsx]customer_report!E3";"Фабрика_eng")</v>
      </c>
      <c r="E7" t="str">
        <f t="shared" si="1"/>
        <v>E3</v>
      </c>
      <c r="G7" t="str">
        <f t="shared" si="2"/>
        <v>E</v>
      </c>
    </row>
    <row r="8" spans="1:10" x14ac:dyDescent="0.25">
      <c r="A8" s="20" t="s">
        <v>3135</v>
      </c>
      <c r="B8" s="20"/>
      <c r="C8" s="2" t="str">
        <f>HYPERLINK("[san_automation_info.xlsx]customer_report!F3","Фабрика_ru")</f>
        <v>Фабрика_ru</v>
      </c>
      <c r="D8" s="12" t="str">
        <f t="shared" si="0"/>
        <v>=HYPERLINK("[san_automation_info.xlsx]customer_report!F3";"Фабрика_ru")</v>
      </c>
      <c r="E8" t="str">
        <f t="shared" si="1"/>
        <v>F3</v>
      </c>
      <c r="G8" t="str">
        <f t="shared" si="2"/>
        <v>F</v>
      </c>
    </row>
    <row r="9" spans="1:10" x14ac:dyDescent="0.25">
      <c r="A9" s="41" t="s">
        <v>3136</v>
      </c>
      <c r="B9" s="41"/>
      <c r="C9" s="2" t="str">
        <f>HYPERLINK("[san_automation_info.xlsx]customer_report!G3","Коммутаторы_перевод_eng")</f>
        <v>Коммутаторы_перевод_eng</v>
      </c>
      <c r="D9" s="12" t="str">
        <f t="shared" si="0"/>
        <v>=HYPERLINK("[san_automation_info.xlsx]customer_report!G3";"Коммутаторы_перевод_eng")</v>
      </c>
      <c r="E9" t="str">
        <f t="shared" si="1"/>
        <v>G3</v>
      </c>
      <c r="G9" t="str">
        <f t="shared" si="2"/>
        <v>G</v>
      </c>
    </row>
    <row r="10" spans="1:10" x14ac:dyDescent="0.25">
      <c r="A10" s="41" t="s">
        <v>3137</v>
      </c>
      <c r="B10" s="41"/>
      <c r="C10" s="2" t="str">
        <f>HYPERLINK("[san_automation_info.xlsx]customer_report!H3","Коммутаторы_перевод_ru")</f>
        <v>Коммутаторы_перевод_ru</v>
      </c>
      <c r="D10" s="12" t="str">
        <f t="shared" si="0"/>
        <v>=HYPERLINK("[san_automation_info.xlsx]customer_report!H3";"Коммутаторы_перевод_ru")</v>
      </c>
      <c r="E10" t="str">
        <f t="shared" si="1"/>
        <v>H3</v>
      </c>
      <c r="G10" t="str">
        <f t="shared" si="2"/>
        <v>H</v>
      </c>
    </row>
    <row r="11" spans="1:10" x14ac:dyDescent="0.25">
      <c r="A11" s="51" t="s">
        <v>3138</v>
      </c>
      <c r="B11" s="51"/>
      <c r="C11" s="2" t="str">
        <f>HYPERLINK("[san_automation_info.xlsx]customer_report!I3","Глобальные_параметры_фабрики_eng")</f>
        <v>Глобальные_параметры_фабрики_eng</v>
      </c>
      <c r="D11" s="12" t="str">
        <f t="shared" si="0"/>
        <v>=HYPERLINK("[san_automation_info.xlsx]customer_report!I3";"Глобальные_параметры_фабрики_eng")</v>
      </c>
      <c r="E11" t="str">
        <f t="shared" si="1"/>
        <v>I3</v>
      </c>
      <c r="G11" t="str">
        <f t="shared" si="2"/>
        <v>I</v>
      </c>
    </row>
    <row r="12" spans="1:10" x14ac:dyDescent="0.25">
      <c r="A12" s="51" t="s">
        <v>3139</v>
      </c>
      <c r="B12" s="51"/>
      <c r="C12" s="2" t="str">
        <f>HYPERLINK("[san_automation_info.xlsx]customer_report!J3","Глобальные_параметры_фабрики_ru")</f>
        <v>Глобальные_параметры_фабрики_ru</v>
      </c>
      <c r="D12" s="12" t="str">
        <f t="shared" si="0"/>
        <v>=HYPERLINK("[san_automation_info.xlsx]customer_report!J3";"Глобальные_параметры_фабрики_ru")</v>
      </c>
      <c r="E12" t="str">
        <f t="shared" si="1"/>
        <v>J3</v>
      </c>
      <c r="G12" t="str">
        <f t="shared" si="2"/>
        <v>J</v>
      </c>
    </row>
    <row r="13" spans="1:10" x14ac:dyDescent="0.25">
      <c r="A13" s="34" t="s">
        <v>3140</v>
      </c>
      <c r="B13" s="34"/>
      <c r="C13" s="2" t="str">
        <f>HYPERLINK("[san_automation_info.xlsx]customer_report!K3","Параметры_коммутаторов_eng")</f>
        <v>Параметры_коммутаторов_eng</v>
      </c>
      <c r="D13" s="12" t="str">
        <f t="shared" si="0"/>
        <v>=HYPERLINK("[san_automation_info.xlsx]customer_report!K3";"Параметры_коммутаторов_eng")</v>
      </c>
      <c r="E13" t="str">
        <f t="shared" si="1"/>
        <v>K3</v>
      </c>
      <c r="G13" t="str">
        <f t="shared" si="2"/>
        <v>K</v>
      </c>
    </row>
    <row r="14" spans="1:10" x14ac:dyDescent="0.25">
      <c r="A14" s="34" t="s">
        <v>3141</v>
      </c>
      <c r="B14" s="34"/>
      <c r="C14" s="2" t="str">
        <f>HYPERLINK("[san_automation_info.xlsx]customer_report!L3","Параметры_коммутаторов_ru")</f>
        <v>Параметры_коммутаторов_ru</v>
      </c>
      <c r="D14" s="12" t="str">
        <f t="shared" si="0"/>
        <v>=HYPERLINK("[san_automation_info.xlsx]customer_report!L3";"Параметры_коммутаторов_ru")</v>
      </c>
      <c r="E14" t="str">
        <f t="shared" si="1"/>
        <v>L3</v>
      </c>
      <c r="G14" t="str">
        <f t="shared" si="2"/>
        <v>L</v>
      </c>
    </row>
    <row r="15" spans="1:10" x14ac:dyDescent="0.25">
      <c r="A15" s="45" t="s">
        <v>3142</v>
      </c>
      <c r="B15" s="45"/>
      <c r="C15" s="2" t="str">
        <f>HYPERLINK("[san_automation_info.xlsx]customer_report!M3","MAPS_eng")</f>
        <v>MAPS_eng</v>
      </c>
      <c r="D15" s="12" t="str">
        <f t="shared" si="0"/>
        <v>=HYPERLINK("[san_automation_info.xlsx]customer_report!M3";"MAPS_eng")</v>
      </c>
      <c r="E15" t="str">
        <f t="shared" si="1"/>
        <v>M3</v>
      </c>
      <c r="G15" t="str">
        <f t="shared" si="2"/>
        <v>M</v>
      </c>
    </row>
    <row r="16" spans="1:10" x14ac:dyDescent="0.25">
      <c r="A16" s="45" t="s">
        <v>3143</v>
      </c>
      <c r="B16" s="45"/>
      <c r="C16" s="2" t="str">
        <f>HYPERLINK("[san_automation_info.xlsx]customer_report!N3","MAPS_ru")</f>
        <v>MAPS_ru</v>
      </c>
      <c r="D16" s="12" t="str">
        <f t="shared" si="0"/>
        <v>=HYPERLINK("[san_automation_info.xlsx]customer_report!N3";"MAPS_ru")</v>
      </c>
      <c r="E16" t="str">
        <f t="shared" si="1"/>
        <v>N3</v>
      </c>
      <c r="G16" t="str">
        <f t="shared" si="2"/>
        <v>N</v>
      </c>
    </row>
    <row r="17" spans="1:7" x14ac:dyDescent="0.25">
      <c r="A17" s="41" t="s">
        <v>3144</v>
      </c>
      <c r="B17" s="41"/>
      <c r="C17" s="2" t="str">
        <f>HYPERLINK("[san_automation_info.xlsx]customer_report!O3","Лицензии_eng")</f>
        <v>Лицензии_eng</v>
      </c>
      <c r="D17" s="12" t="str">
        <f t="shared" si="0"/>
        <v>=HYPERLINK("[san_automation_info.xlsx]customer_report!O3";"Лицензии_eng")</v>
      </c>
      <c r="E17" t="str">
        <f t="shared" si="1"/>
        <v>O3</v>
      </c>
      <c r="G17" t="str">
        <f t="shared" si="2"/>
        <v>O</v>
      </c>
    </row>
    <row r="18" spans="1:7" x14ac:dyDescent="0.25">
      <c r="A18" s="41" t="s">
        <v>3145</v>
      </c>
      <c r="B18" s="41"/>
      <c r="C18" s="2" t="str">
        <f>HYPERLINK("[san_automation_info.xlsx]customer_report!P3","Лицензии_ru")</f>
        <v>Лицензии_ru</v>
      </c>
      <c r="D18" s="12" t="str">
        <f t="shared" si="0"/>
        <v>=HYPERLINK("[san_automation_info.xlsx]customer_report!P3";"Лицензии_ru")</v>
      </c>
      <c r="E18" t="str">
        <f t="shared" si="1"/>
        <v>P3</v>
      </c>
      <c r="G18" t="str">
        <f t="shared" si="2"/>
        <v>P</v>
      </c>
    </row>
    <row r="19" spans="1:7" x14ac:dyDescent="0.25">
      <c r="A19" s="26" t="s">
        <v>3146</v>
      </c>
      <c r="B19" s="26"/>
      <c r="C19" s="2" t="str">
        <f>HYPERLINK("[san_automation_info.xlsx]customer_report!Q3","Статистика_коммутаторов_перевод_eng")</f>
        <v>Статистика_коммутаторов_перевод_eng</v>
      </c>
      <c r="D19" s="12" t="str">
        <f t="shared" si="0"/>
        <v>=HYPERLINK("[san_automation_info.xlsx]customer_report!Q3";"Статистика_коммутаторов_перевод_eng")</v>
      </c>
      <c r="E19" t="str">
        <f t="shared" si="1"/>
        <v>Q3</v>
      </c>
      <c r="G19" t="str">
        <f t="shared" si="2"/>
        <v>Q</v>
      </c>
    </row>
    <row r="20" spans="1:7" x14ac:dyDescent="0.25">
      <c r="A20" s="26" t="s">
        <v>3147</v>
      </c>
      <c r="B20" s="26"/>
      <c r="C20" s="2" t="str">
        <f>HYPERLINK("[san_automation_info.xlsx]customer_report!R3","Статистика_коммутаторов_перевод_ru")</f>
        <v>Статистика_коммутаторов_перевод_ru</v>
      </c>
      <c r="D20" s="12" t="str">
        <f t="shared" si="0"/>
        <v>=HYPERLINK("[san_automation_info.xlsx]customer_report!R3";"Статистика_коммутаторов_перевод_ru")</v>
      </c>
      <c r="E20" t="str">
        <f t="shared" si="1"/>
        <v>R3</v>
      </c>
      <c r="G20" t="str">
        <f t="shared" si="2"/>
        <v>R</v>
      </c>
    </row>
    <row r="21" spans="1:7" x14ac:dyDescent="0.25">
      <c r="A21" s="32" t="s">
        <v>3148</v>
      </c>
      <c r="B21" s="32"/>
      <c r="C21" s="2" t="str">
        <f>HYPERLINK("[san_automation_info.xlsx]customer_report!S3","Статистика_портов_eng")</f>
        <v>Статистика_портов_eng</v>
      </c>
      <c r="D21" s="12" t="str">
        <f t="shared" si="0"/>
        <v>=HYPERLINK("[san_automation_info.xlsx]customer_report!S3";"Статистика_портов_eng")</v>
      </c>
      <c r="E21" t="str">
        <f t="shared" si="1"/>
        <v>S3</v>
      </c>
      <c r="G21" t="str">
        <f t="shared" si="2"/>
        <v>S</v>
      </c>
    </row>
    <row r="22" spans="1:7" x14ac:dyDescent="0.25">
      <c r="A22" s="32" t="s">
        <v>3149</v>
      </c>
      <c r="B22" s="32"/>
      <c r="C22" s="2" t="str">
        <f>HYPERLINK("[san_automation_info.xlsx]customer_report!T3","Статистика_портов_ru")</f>
        <v>Статистика_портов_ru</v>
      </c>
      <c r="D22" s="12" t="str">
        <f t="shared" si="0"/>
        <v>=HYPERLINK("[san_automation_info.xlsx]customer_report!T3";"Статистика_портов_ru")</v>
      </c>
      <c r="E22" t="str">
        <f t="shared" si="1"/>
        <v>T3</v>
      </c>
      <c r="G22" t="str">
        <f t="shared" si="2"/>
        <v>T</v>
      </c>
    </row>
    <row r="23" spans="1:7" x14ac:dyDescent="0.25">
      <c r="A23" s="39" t="s">
        <v>3150</v>
      </c>
      <c r="B23" s="39"/>
      <c r="C23" s="2" t="str">
        <f>HYPERLINK("[san_automation_info.xlsx]customer_report!U3","Межкоммутаторные_соединения_eng")</f>
        <v>Межкоммутаторные_соединения_eng</v>
      </c>
      <c r="D23" s="12" t="str">
        <f t="shared" si="0"/>
        <v>=HYPERLINK("[san_automation_info.xlsx]customer_report!U3";"Межкоммутаторные_соединения_eng")</v>
      </c>
      <c r="E23" t="str">
        <f t="shared" si="1"/>
        <v>U3</v>
      </c>
      <c r="G23" t="str">
        <f t="shared" si="2"/>
        <v>U</v>
      </c>
    </row>
    <row r="24" spans="1:7" x14ac:dyDescent="0.25">
      <c r="A24" s="39" t="s">
        <v>3151</v>
      </c>
      <c r="B24" s="39"/>
      <c r="C24" s="2" t="str">
        <f>HYPERLINK("[san_automation_info.xlsx]customer_report!V3","Межкоммутаторные_соединения_ru")</f>
        <v>Межкоммутаторные_соединения_ru</v>
      </c>
      <c r="D24" s="12" t="str">
        <f t="shared" si="0"/>
        <v>=HYPERLINK("[san_automation_info.xlsx]customer_report!V3";"Межкоммутаторные_соединения_ru")</v>
      </c>
      <c r="E24" t="str">
        <f t="shared" si="1"/>
        <v>V3</v>
      </c>
      <c r="G24" t="str">
        <f t="shared" si="2"/>
        <v>V</v>
      </c>
    </row>
    <row r="25" spans="1:7" x14ac:dyDescent="0.25">
      <c r="A25" s="28" t="s">
        <v>3152</v>
      </c>
      <c r="B25" s="28"/>
      <c r="C25" s="2" t="str">
        <f>HYPERLINK("[san_automation_info.xlsx]customer_report!W3","Межфабричные_соединения_available")</f>
        <v>Межфабричные_соединения_available</v>
      </c>
      <c r="D25" s="12" t="str">
        <f t="shared" si="0"/>
        <v>=HYPERLINK("[san_automation_info.xlsx]customer_report!W3";"Межфабричные_соединения_available")</v>
      </c>
      <c r="E25" t="str">
        <f t="shared" si="1"/>
        <v>W3</v>
      </c>
      <c r="G25" t="str">
        <f t="shared" si="2"/>
        <v>W</v>
      </c>
    </row>
    <row r="26" spans="1:7" x14ac:dyDescent="0.25">
      <c r="A26" s="28" t="s">
        <v>3153</v>
      </c>
      <c r="B26" s="28"/>
      <c r="C26" s="2" t="str">
        <f>HYPERLINK("[san_automation_info.xlsx]customer_report!X3","Межфабричные_соединения_eng")</f>
        <v>Межфабричные_соединения_eng</v>
      </c>
      <c r="D26" s="12" t="str">
        <f t="shared" si="0"/>
        <v>=HYPERLINK("[san_automation_info.xlsx]customer_report!X3";"Межфабричные_соединения_eng")</v>
      </c>
      <c r="E26" t="str">
        <f t="shared" si="1"/>
        <v>X3</v>
      </c>
      <c r="G26" t="str">
        <f t="shared" si="2"/>
        <v>X</v>
      </c>
    </row>
    <row r="27" spans="1:7" x14ac:dyDescent="0.25">
      <c r="A27" s="28" t="s">
        <v>3154</v>
      </c>
      <c r="B27" s="28"/>
      <c r="C27" s="2" t="str">
        <f>HYPERLINK("[san_automation_info.xlsx]customer_report!Y3","Межфабричные_соединения_ru")</f>
        <v>Межфабричные_соединения_ru</v>
      </c>
      <c r="D27" s="12" t="str">
        <f t="shared" si="0"/>
        <v>=HYPERLINK("[san_automation_info.xlsx]customer_report!Y3";"Межфабричные_соединения_ru")</v>
      </c>
      <c r="E27" t="str">
        <f t="shared" si="1"/>
        <v>Y3</v>
      </c>
      <c r="G27" t="str">
        <f t="shared" si="2"/>
        <v>Y</v>
      </c>
    </row>
    <row r="28" spans="1:7" x14ac:dyDescent="0.25">
      <c r="A28" s="41" t="s">
        <v>3155</v>
      </c>
      <c r="B28" s="41"/>
      <c r="C28" s="2" t="str">
        <f>HYPERLINK("[san_automation_info.xlsx]customer_report!Z3","Массивы_eng")</f>
        <v>Массивы_eng</v>
      </c>
      <c r="D28" s="12" t="str">
        <f t="shared" si="0"/>
        <v>=HYPERLINK("[san_automation_info.xlsx]customer_report!Z3";"Массивы_eng")</v>
      </c>
      <c r="E28" t="str">
        <f t="shared" si="1"/>
        <v>Z3</v>
      </c>
      <c r="G28" t="str">
        <f t="shared" si="2"/>
        <v>Z</v>
      </c>
    </row>
    <row r="29" spans="1:7" x14ac:dyDescent="0.25">
      <c r="A29" s="41" t="s">
        <v>3156</v>
      </c>
      <c r="B29" s="41"/>
      <c r="C29" s="2" t="str">
        <f>HYPERLINK("[san_automation_info.xlsx]customer_report!AA3","Массивы_ru")</f>
        <v>Массивы_ru</v>
      </c>
      <c r="D29" s="12" t="str">
        <f t="shared" si="0"/>
        <v>=HYPERLINK("[san_automation_info.xlsx]customer_report!AA3";"Массивы_ru")</v>
      </c>
      <c r="E29" t="str">
        <f t="shared" si="1"/>
        <v>AA3</v>
      </c>
      <c r="F29" t="s">
        <v>3157</v>
      </c>
      <c r="G29" t="s">
        <v>3157</v>
      </c>
    </row>
    <row r="30" spans="1:7" x14ac:dyDescent="0.25">
      <c r="A30" s="53" t="s">
        <v>3158</v>
      </c>
      <c r="B30" s="53"/>
      <c r="C30" s="2" t="str">
        <f>HYPERLINK("[san_automation_info.xlsx]customer_report!AB3","Библиотеки_eng")</f>
        <v>Библиотеки_eng</v>
      </c>
      <c r="D30" s="12" t="str">
        <f t="shared" si="0"/>
        <v>=HYPERLINK("[san_automation_info.xlsx]customer_report!AB3";"Библиотеки_eng")</v>
      </c>
      <c r="E30" t="str">
        <f t="shared" si="1"/>
        <v>AB3</v>
      </c>
      <c r="F30" t="s">
        <v>3157</v>
      </c>
      <c r="G30" t="s">
        <v>3159</v>
      </c>
    </row>
    <row r="31" spans="1:7" x14ac:dyDescent="0.25">
      <c r="A31" s="53" t="s">
        <v>3160</v>
      </c>
      <c r="B31" s="53"/>
      <c r="C31" s="2" t="str">
        <f>HYPERLINK("[san_automation_info.xlsx]customer_report!AC3","Библиотеки_ru")</f>
        <v>Библиотеки_ru</v>
      </c>
      <c r="D31" s="12" t="str">
        <f t="shared" si="0"/>
        <v>=HYPERLINK("[san_automation_info.xlsx]customer_report!AC3";"Библиотеки_ru")</v>
      </c>
      <c r="E31" t="str">
        <f t="shared" si="1"/>
        <v>AC3</v>
      </c>
      <c r="F31" t="s">
        <v>3157</v>
      </c>
      <c r="G31" t="s">
        <v>3161</v>
      </c>
    </row>
    <row r="32" spans="1:7" x14ac:dyDescent="0.25">
      <c r="A32" s="36" t="s">
        <v>3162</v>
      </c>
      <c r="B32" s="36"/>
      <c r="C32" s="2" t="str">
        <f>HYPERLINK("[san_automation_info.xlsx]customer_report!AD3","Серверы_eng")</f>
        <v>Серверы_eng</v>
      </c>
      <c r="D32" s="12" t="str">
        <f t="shared" si="0"/>
        <v>=HYPERLINK("[san_automation_info.xlsx]customer_report!AD3";"Серверы_eng")</v>
      </c>
      <c r="E32" t="str">
        <f t="shared" si="1"/>
        <v>AD3</v>
      </c>
      <c r="F32" t="s">
        <v>3157</v>
      </c>
      <c r="G32" t="s">
        <v>3163</v>
      </c>
    </row>
    <row r="33" spans="1:7" x14ac:dyDescent="0.25">
      <c r="A33" s="36" t="s">
        <v>3164</v>
      </c>
      <c r="B33" s="36"/>
      <c r="C33" s="2" t="str">
        <f>HYPERLINK("[san_automation_info.xlsx]customer_report!AE3","Серверы_ru")</f>
        <v>Серверы_ru</v>
      </c>
      <c r="D33" s="12" t="str">
        <f t="shared" si="0"/>
        <v>=HYPERLINK("[san_automation_info.xlsx]customer_report!AE3";"Серверы_ru")</v>
      </c>
      <c r="E33" t="str">
        <f t="shared" si="1"/>
        <v>AE3</v>
      </c>
      <c r="F33" t="s">
        <v>3157</v>
      </c>
      <c r="G33" t="s">
        <v>3165</v>
      </c>
    </row>
    <row r="34" spans="1:7" x14ac:dyDescent="0.25">
      <c r="A34" s="48" t="s">
        <v>3166</v>
      </c>
      <c r="B34" s="48"/>
      <c r="C34" s="2" t="str">
        <f>HYPERLINK("[san_automation_info.xlsx]customer_report!AF3","Подключение_массивов_eng")</f>
        <v>Подключение_массивов_eng</v>
      </c>
      <c r="D34" s="12" t="str">
        <f t="shared" si="0"/>
        <v>=HYPERLINK("[san_automation_info.xlsx]customer_report!AF3";"Подключение_массивов_eng")</v>
      </c>
      <c r="E34" t="str">
        <f t="shared" si="1"/>
        <v>AF3</v>
      </c>
      <c r="F34" t="s">
        <v>3157</v>
      </c>
      <c r="G34" t="s">
        <v>3167</v>
      </c>
    </row>
    <row r="35" spans="1:7" x14ac:dyDescent="0.25">
      <c r="A35" s="48" t="s">
        <v>3168</v>
      </c>
      <c r="B35" s="48"/>
      <c r="C35" s="2" t="str">
        <f>HYPERLINK("[san_automation_info.xlsx]customer_report!AG3","Подключение_массивов_ru")</f>
        <v>Подключение_массивов_ru</v>
      </c>
      <c r="D35" s="12" t="str">
        <f t="shared" ref="D35:D66" si="3">CONCATENATE("=HYPERLINK(","""[san_automation_info.xlsx]customer_report!",E35,"""",";","""",A35,"""", ")")</f>
        <v>=HYPERLINK("[san_automation_info.xlsx]customer_report!AG3";"Подключение_массивов_ru")</v>
      </c>
      <c r="E35" t="str">
        <f t="shared" ref="E35:E66" si="4">CONCATENATE(F35,G35,"3")</f>
        <v>AG3</v>
      </c>
      <c r="F35" t="s">
        <v>3157</v>
      </c>
      <c r="G35" t="s">
        <v>3169</v>
      </c>
    </row>
    <row r="36" spans="1:7" x14ac:dyDescent="0.25">
      <c r="A36" s="45" t="s">
        <v>3170</v>
      </c>
      <c r="B36" s="45"/>
      <c r="C36" s="2" t="str">
        <f>HYPERLINK("[san_automation_info.xlsx]customer_report!AH3","Подключение_библиотек_eng")</f>
        <v>Подключение_библиотек_eng</v>
      </c>
      <c r="D36" s="12" t="str">
        <f t="shared" si="3"/>
        <v>=HYPERLINK("[san_automation_info.xlsx]customer_report!AH3";"Подключение_библиотек_eng")</v>
      </c>
      <c r="E36" t="str">
        <f t="shared" si="4"/>
        <v>AH3</v>
      </c>
      <c r="F36" t="s">
        <v>3157</v>
      </c>
      <c r="G36" t="s">
        <v>3171</v>
      </c>
    </row>
    <row r="37" spans="1:7" x14ac:dyDescent="0.25">
      <c r="A37" s="45" t="s">
        <v>3172</v>
      </c>
      <c r="B37" s="45"/>
      <c r="C37" s="2" t="str">
        <f>HYPERLINK("[san_automation_info.xlsx]customer_report!AI3","Подключение_библиотек_ru")</f>
        <v>Подключение_библиотек_ru</v>
      </c>
      <c r="D37" s="12" t="str">
        <f t="shared" si="3"/>
        <v>=HYPERLINK("[san_automation_info.xlsx]customer_report!AI3";"Подключение_библиотек_ru")</v>
      </c>
      <c r="E37" t="str">
        <f t="shared" si="4"/>
        <v>AI3</v>
      </c>
      <c r="F37" t="s">
        <v>3157</v>
      </c>
      <c r="G37" t="s">
        <v>3173</v>
      </c>
    </row>
    <row r="38" spans="1:7" x14ac:dyDescent="0.25">
      <c r="A38" s="53" t="s">
        <v>3174</v>
      </c>
      <c r="B38" s="53"/>
      <c r="C38" s="2" t="str">
        <f>HYPERLINK("[san_automation_info.xlsx]customer_report!AJ3","Подключение_серверов_eng")</f>
        <v>Подключение_серверов_eng</v>
      </c>
      <c r="D38" s="12" t="str">
        <f t="shared" si="3"/>
        <v>=HYPERLINK("[san_automation_info.xlsx]customer_report!AJ3";"Подключение_серверов_eng")</v>
      </c>
      <c r="E38" t="str">
        <f t="shared" si="4"/>
        <v>AJ3</v>
      </c>
      <c r="F38" t="s">
        <v>3157</v>
      </c>
      <c r="G38" t="s">
        <v>3175</v>
      </c>
    </row>
    <row r="39" spans="1:7" x14ac:dyDescent="0.25">
      <c r="A39" s="53" t="s">
        <v>3176</v>
      </c>
      <c r="B39" s="53"/>
      <c r="C39" s="2" t="str">
        <f>HYPERLINK("[san_automation_info.xlsx]customer_report!AK3","Подключение_серверов_ru")</f>
        <v>Подключение_серверов_ru</v>
      </c>
      <c r="D39" s="12" t="str">
        <f t="shared" si="3"/>
        <v>=HYPERLINK("[san_automation_info.xlsx]customer_report!AK3";"Подключение_серверов_ru")</v>
      </c>
      <c r="E39" t="str">
        <f t="shared" si="4"/>
        <v>AK3</v>
      </c>
      <c r="F39" t="s">
        <v>3157</v>
      </c>
      <c r="G39" t="s">
        <v>3177</v>
      </c>
    </row>
    <row r="40" spans="1:7" x14ac:dyDescent="0.25">
      <c r="A40" s="25" t="s">
        <v>3178</v>
      </c>
      <c r="B40" s="25"/>
      <c r="C40" s="2" t="str">
        <f>HYPERLINK("[san_automation_info.xlsx]customer_report!AL3","Микрокоды_HBA_eng")</f>
        <v>Микрокоды_HBA_eng</v>
      </c>
      <c r="D40" s="12" t="str">
        <f t="shared" si="3"/>
        <v>=HYPERLINK("[san_automation_info.xlsx]customer_report!AL3";"Микрокоды_HBA_eng")</v>
      </c>
      <c r="E40" t="str">
        <f t="shared" si="4"/>
        <v>AL3</v>
      </c>
      <c r="F40" t="s">
        <v>3157</v>
      </c>
      <c r="G40" t="s">
        <v>3179</v>
      </c>
    </row>
    <row r="41" spans="1:7" x14ac:dyDescent="0.25">
      <c r="A41" s="25" t="s">
        <v>3180</v>
      </c>
      <c r="B41" s="25"/>
      <c r="C41" s="2" t="str">
        <f>HYPERLINK("[san_automation_info.xlsx]customer_report!AM3","Микрокоды_HBA_ru")</f>
        <v>Микрокоды_HBA_ru</v>
      </c>
      <c r="D41" s="12" t="str">
        <f t="shared" si="3"/>
        <v>=HYPERLINK("[san_automation_info.xlsx]customer_report!AM3";"Микрокоды_HBA_ru")</v>
      </c>
      <c r="E41" t="str">
        <f t="shared" si="4"/>
        <v>AM3</v>
      </c>
      <c r="F41" t="s">
        <v>3157</v>
      </c>
      <c r="G41" t="s">
        <v>3181</v>
      </c>
    </row>
    <row r="42" spans="1:7" x14ac:dyDescent="0.25">
      <c r="A42" s="43" t="s">
        <v>3182</v>
      </c>
      <c r="B42" s="43"/>
      <c r="C42" s="2" t="str">
        <f>HYPERLINK("[san_automation_info.xlsx]customer_report!AN3","Ошибки_eng")</f>
        <v>Ошибки_eng</v>
      </c>
      <c r="D42" s="12" t="str">
        <f t="shared" si="3"/>
        <v>=HYPERLINK("[san_automation_info.xlsx]customer_report!AN3";"Ошибки_eng")</v>
      </c>
      <c r="E42" t="str">
        <f t="shared" si="4"/>
        <v>AN3</v>
      </c>
      <c r="F42" t="s">
        <v>3157</v>
      </c>
      <c r="G42" t="s">
        <v>3183</v>
      </c>
    </row>
    <row r="43" spans="1:7" x14ac:dyDescent="0.25">
      <c r="A43" s="43" t="s">
        <v>3184</v>
      </c>
      <c r="B43" s="43"/>
      <c r="C43" s="2" t="str">
        <f>HYPERLINK("[san_automation_info.xlsx]customer_report!AO3","Ошибки_ru")</f>
        <v>Ошибки_ru</v>
      </c>
      <c r="D43" s="12" t="str">
        <f t="shared" si="3"/>
        <v>=HYPERLINK("[san_automation_info.xlsx]customer_report!AO3";"Ошибки_ru")</v>
      </c>
      <c r="E43" t="str">
        <f t="shared" si="4"/>
        <v>AO3</v>
      </c>
      <c r="F43" t="s">
        <v>3157</v>
      </c>
      <c r="G43" t="s">
        <v>3185</v>
      </c>
    </row>
    <row r="44" spans="1:7" x14ac:dyDescent="0.25">
      <c r="A44" s="59" t="s">
        <v>3186</v>
      </c>
      <c r="B44" s="59"/>
      <c r="C44" s="2" t="str">
        <f>HYPERLINK("[san_automation_info.xlsx]customer_report!AP3","Параметры_SFP_eng")</f>
        <v>Параметры_SFP_eng</v>
      </c>
      <c r="D44" s="12" t="str">
        <f t="shared" si="3"/>
        <v>=HYPERLINK("[san_automation_info.xlsx]customer_report!AP3";"Параметры_SFP_eng")</v>
      </c>
      <c r="E44" t="str">
        <f t="shared" si="4"/>
        <v>AP3</v>
      </c>
      <c r="F44" t="s">
        <v>3157</v>
      </c>
      <c r="G44" t="s">
        <v>3187</v>
      </c>
    </row>
    <row r="45" spans="1:7" x14ac:dyDescent="0.25">
      <c r="A45" s="59" t="s">
        <v>3188</v>
      </c>
      <c r="B45" s="59"/>
      <c r="C45" s="2" t="str">
        <f>HYPERLINK("[san_automation_info.xlsx]customer_report!AQ3","Параметры_SFP_ru")</f>
        <v>Параметры_SFP_ru</v>
      </c>
      <c r="D45" s="12" t="str">
        <f t="shared" si="3"/>
        <v>=HYPERLINK("[san_automation_info.xlsx]customer_report!AQ3";"Параметры_SFP_ru")</v>
      </c>
      <c r="E45" t="str">
        <f t="shared" si="4"/>
        <v>AQ3</v>
      </c>
      <c r="F45" t="s">
        <v>3157</v>
      </c>
      <c r="G45" t="s">
        <v>3189</v>
      </c>
    </row>
    <row r="46" spans="1:7" x14ac:dyDescent="0.25">
      <c r="A46" s="63" t="s">
        <v>3190</v>
      </c>
      <c r="B46" s="63"/>
      <c r="C46" s="2" t="str">
        <f>HYPERLINK("[san_automation_info.xlsx]customer_report!AR3","Параметры_портов_eng")</f>
        <v>Параметры_портов_eng</v>
      </c>
      <c r="D46" s="12" t="str">
        <f t="shared" si="3"/>
        <v>=HYPERLINK("[san_automation_info.xlsx]customer_report!AR3";"Параметры_портов_eng")</v>
      </c>
      <c r="E46" t="str">
        <f t="shared" si="4"/>
        <v>AR3</v>
      </c>
      <c r="F46" t="s">
        <v>3157</v>
      </c>
      <c r="G46" t="s">
        <v>3191</v>
      </c>
    </row>
    <row r="47" spans="1:7" x14ac:dyDescent="0.25">
      <c r="A47" s="63" t="s">
        <v>3192</v>
      </c>
      <c r="B47" s="63"/>
      <c r="C47" s="2" t="str">
        <f>HYPERLINK("[san_automation_info.xlsx]customer_report!AS3","Параметры_портов_ru")</f>
        <v>Параметры_портов_ru</v>
      </c>
      <c r="D47" s="12" t="str">
        <f t="shared" si="3"/>
        <v>=HYPERLINK("[san_automation_info.xlsx]customer_report!AS3";"Параметры_портов_ru")</v>
      </c>
      <c r="E47" t="str">
        <f t="shared" si="4"/>
        <v>AS3</v>
      </c>
      <c r="F47" t="s">
        <v>3157</v>
      </c>
      <c r="G47" t="s">
        <v>3193</v>
      </c>
    </row>
    <row r="48" spans="1:7" x14ac:dyDescent="0.25">
      <c r="A48" s="43" t="s">
        <v>3194</v>
      </c>
      <c r="B48" s="43"/>
      <c r="C48" s="2" t="str">
        <f>HYPERLINK("[san_automation_info.xlsx]customer_report!AT3","NPIV_порты_eng")</f>
        <v>NPIV_порты_eng</v>
      </c>
      <c r="D48" s="12" t="str">
        <f t="shared" si="3"/>
        <v>=HYPERLINK("[san_automation_info.xlsx]customer_report!AT3";"NPIV_порты_eng")</v>
      </c>
      <c r="E48" t="str">
        <f t="shared" si="4"/>
        <v>AT3</v>
      </c>
      <c r="F48" t="s">
        <v>3157</v>
      </c>
      <c r="G48" t="s">
        <v>3195</v>
      </c>
    </row>
    <row r="49" spans="1:7" x14ac:dyDescent="0.25">
      <c r="A49" s="43" t="s">
        <v>3196</v>
      </c>
      <c r="B49" s="43"/>
      <c r="C49" s="2" t="str">
        <f>HYPERLINK("[san_automation_info.xlsx]customer_report!AU3","NPIV_порты_ru")</f>
        <v>NPIV_порты_ru</v>
      </c>
      <c r="D49" s="12" t="str">
        <f t="shared" si="3"/>
        <v>=HYPERLINK("[san_automation_info.xlsx]customer_report!AU3";"NPIV_порты_ru")</v>
      </c>
      <c r="E49" t="str">
        <f t="shared" si="4"/>
        <v>AU3</v>
      </c>
      <c r="F49" t="s">
        <v>3157</v>
      </c>
      <c r="G49" t="s">
        <v>3197</v>
      </c>
    </row>
    <row r="50" spans="1:7" x14ac:dyDescent="0.25">
      <c r="A50" s="63" t="s">
        <v>3198</v>
      </c>
      <c r="B50" s="63"/>
      <c r="C50" s="2" t="str">
        <f>HYPERLINK("[san_automation_info.xlsx]customer_report!AV3","MAPS_порты_eng")</f>
        <v>MAPS_порты_eng</v>
      </c>
      <c r="D50" s="12" t="str">
        <f t="shared" si="3"/>
        <v>=HYPERLINK("[san_automation_info.xlsx]customer_report!AV3";"MAPS_порты_eng")</v>
      </c>
      <c r="E50" t="str">
        <f t="shared" si="4"/>
        <v>AV3</v>
      </c>
      <c r="F50" t="s">
        <v>3157</v>
      </c>
      <c r="G50" t="s">
        <v>3199</v>
      </c>
    </row>
    <row r="51" spans="1:7" x14ac:dyDescent="0.25">
      <c r="A51" s="63" t="s">
        <v>3200</v>
      </c>
      <c r="B51" s="63"/>
      <c r="C51" s="2" t="str">
        <f>HYPERLINK("[san_automation_info.xlsx]customer_report!AW3","MAPS_порты_ru")</f>
        <v>MAPS_порты_ru</v>
      </c>
      <c r="D51" s="12" t="str">
        <f t="shared" si="3"/>
        <v>=HYPERLINK("[san_automation_info.xlsx]customer_report!AW3";"MAPS_порты_ru")</v>
      </c>
      <c r="E51" t="str">
        <f t="shared" si="4"/>
        <v>AW3</v>
      </c>
      <c r="F51" t="s">
        <v>3157</v>
      </c>
      <c r="G51" t="s">
        <v>3201</v>
      </c>
    </row>
    <row r="52" spans="1:7" x14ac:dyDescent="0.25">
      <c r="A52" s="48" t="s">
        <v>3202</v>
      </c>
      <c r="B52" s="48"/>
      <c r="C52" s="2" t="str">
        <f>HYPERLINK("[san_automation_info.xlsx]customer_report!AX3","Зонирование_eng")</f>
        <v>Зонирование_eng</v>
      </c>
      <c r="D52" s="12" t="str">
        <f t="shared" si="3"/>
        <v>=HYPERLINK("[san_automation_info.xlsx]customer_report!AX3";"Зонирование_eng")</v>
      </c>
      <c r="E52" t="str">
        <f t="shared" si="4"/>
        <v>AX3</v>
      </c>
      <c r="F52" t="s">
        <v>3157</v>
      </c>
      <c r="G52" t="s">
        <v>3203</v>
      </c>
    </row>
    <row r="53" spans="1:7" x14ac:dyDescent="0.25">
      <c r="A53" s="48" t="s">
        <v>3204</v>
      </c>
      <c r="B53" s="48"/>
      <c r="C53" s="2" t="str">
        <f>HYPERLINK("[san_automation_info.xlsx]customer_report!AY3","Зонирование_ru")</f>
        <v>Зонирование_ru</v>
      </c>
      <c r="D53" s="12" t="str">
        <f t="shared" si="3"/>
        <v>=HYPERLINK("[san_automation_info.xlsx]customer_report!AY3";"Зонирование_ru")</v>
      </c>
      <c r="E53" t="str">
        <f t="shared" si="4"/>
        <v>AY3</v>
      </c>
      <c r="F53" t="s">
        <v>3157</v>
      </c>
      <c r="G53" t="s">
        <v>3205</v>
      </c>
    </row>
    <row r="54" spans="1:7" x14ac:dyDescent="0.25">
      <c r="A54" s="53" t="s">
        <v>3206</v>
      </c>
      <c r="B54" s="53"/>
      <c r="C54" s="2" t="str">
        <f>HYPERLINK("[san_automation_info.xlsx]customer_report!AZ3","Псевдонимы_eng")</f>
        <v>Псевдонимы_eng</v>
      </c>
      <c r="D54" s="12" t="str">
        <f t="shared" si="3"/>
        <v>=HYPERLINK("[san_automation_info.xlsx]customer_report!AZ3";"Псевдонимы_eng")</v>
      </c>
      <c r="E54" t="str">
        <f t="shared" si="4"/>
        <v>AZ3</v>
      </c>
      <c r="F54" t="s">
        <v>3157</v>
      </c>
      <c r="G54" t="s">
        <v>3207</v>
      </c>
    </row>
    <row r="55" spans="1:7" x14ac:dyDescent="0.25">
      <c r="A55" s="53" t="s">
        <v>3208</v>
      </c>
      <c r="B55" s="53"/>
      <c r="C55" s="2" t="str">
        <f>HYPERLINK("[san_automation_info.xlsx]customer_report!BA3","Псевдонимы_ru")</f>
        <v>Псевдонимы_ru</v>
      </c>
      <c r="D55" s="12" t="str">
        <f t="shared" si="3"/>
        <v>=HYPERLINK("[san_automation_info.xlsx]customer_report!BA3";"Псевдонимы_ru")</v>
      </c>
      <c r="E55" t="str">
        <f t="shared" si="4"/>
        <v>BA3</v>
      </c>
      <c r="F55" t="s">
        <v>3159</v>
      </c>
      <c r="G55" t="s">
        <v>3157</v>
      </c>
    </row>
    <row r="56" spans="1:7" x14ac:dyDescent="0.25">
      <c r="A56" s="20" t="s">
        <v>3209</v>
      </c>
      <c r="B56" s="20"/>
      <c r="C56" s="2" t="str">
        <f>HYPERLINK("[san_automation_info.xlsx]customer_report!BB3","Зонирование_перевод_eng")</f>
        <v>Зонирование_перевод_eng</v>
      </c>
      <c r="D56" s="12" t="str">
        <f t="shared" si="3"/>
        <v>=HYPERLINK("[san_automation_info.xlsx]customer_report!BB3";"Зонирование_перевод_eng")</v>
      </c>
      <c r="E56" t="str">
        <f t="shared" si="4"/>
        <v>BB3</v>
      </c>
      <c r="F56" t="s">
        <v>3159</v>
      </c>
      <c r="G56" t="s">
        <v>3159</v>
      </c>
    </row>
    <row r="57" spans="1:7" x14ac:dyDescent="0.25">
      <c r="A57" s="20" t="s">
        <v>3210</v>
      </c>
      <c r="B57" s="20"/>
      <c r="C57" s="2" t="str">
        <f>HYPERLINK("[san_automation_info.xlsx]customer_report!BC3","Зонирование_перевод_ru")</f>
        <v>Зонирование_перевод_ru</v>
      </c>
      <c r="D57" s="12" t="str">
        <f t="shared" si="3"/>
        <v>=HYPERLINK("[san_automation_info.xlsx]customer_report!BC3";"Зонирование_перевод_ru")</v>
      </c>
      <c r="E57" t="str">
        <f t="shared" si="4"/>
        <v>BC3</v>
      </c>
      <c r="F57" t="s">
        <v>3159</v>
      </c>
      <c r="G57" t="s">
        <v>3161</v>
      </c>
    </row>
    <row r="58" spans="1:7" x14ac:dyDescent="0.25">
      <c r="A58" s="71" t="s">
        <v>3211</v>
      </c>
      <c r="B58" s="71"/>
      <c r="C58" s="2" t="str">
        <f>HYPERLINK("[san_automation_info.xlsx]customer_report!BD3","Порты_не_в_зонах_eng")</f>
        <v>Порты_не_в_зонах_eng</v>
      </c>
      <c r="D58" s="12" t="str">
        <f t="shared" si="3"/>
        <v>=HYPERLINK("[san_automation_info.xlsx]customer_report!BD3";"Порты_не_в_зонах_eng")</v>
      </c>
      <c r="E58" t="str">
        <f t="shared" si="4"/>
        <v>BD3</v>
      </c>
      <c r="F58" t="s">
        <v>3159</v>
      </c>
      <c r="G58" t="s">
        <v>3163</v>
      </c>
    </row>
    <row r="59" spans="1:7" x14ac:dyDescent="0.25">
      <c r="A59" s="71" t="s">
        <v>3212</v>
      </c>
      <c r="B59" s="71"/>
      <c r="C59" s="2" t="str">
        <f>HYPERLINK("[san_automation_info.xlsx]customer_report!BE3","Порты_не_в_зонах_ru")</f>
        <v>Порты_не_в_зонах_ru</v>
      </c>
      <c r="D59" s="12" t="str">
        <f t="shared" si="3"/>
        <v>=HYPERLINK("[san_automation_info.xlsx]customer_report!BE3";"Порты_не_в_зонах_ru")</v>
      </c>
      <c r="E59" t="str">
        <f t="shared" si="4"/>
        <v>BE3</v>
      </c>
      <c r="F59" t="s">
        <v>3159</v>
      </c>
      <c r="G59" t="s">
        <v>3165</v>
      </c>
    </row>
    <row r="60" spans="1:7" x14ac:dyDescent="0.25">
      <c r="A60" s="25" t="s">
        <v>3213</v>
      </c>
      <c r="B60" s="25"/>
      <c r="C60" s="2" t="str">
        <f>HYPERLINK("[san_automation_info.xlsx]customer_report!BF3","Порты_без_псевдономов_eng")</f>
        <v>Порты_без_псевдономов_eng</v>
      </c>
      <c r="D60" s="12" t="str">
        <f t="shared" si="3"/>
        <v>=HYPERLINK("[san_automation_info.xlsx]customer_report!BF3";"Порты_без_псевдономов_eng")</v>
      </c>
      <c r="E60" t="str">
        <f t="shared" si="4"/>
        <v>BF3</v>
      </c>
      <c r="F60" t="s">
        <v>3159</v>
      </c>
      <c r="G60" t="s">
        <v>3167</v>
      </c>
    </row>
    <row r="61" spans="1:7" x14ac:dyDescent="0.25">
      <c r="A61" s="25" t="s">
        <v>3214</v>
      </c>
      <c r="B61" s="25"/>
      <c r="C61" s="2" t="str">
        <f>HYPERLINK("[san_automation_info.xlsx]customer_report!BG3","Порты_без_псевдономов_ru")</f>
        <v>Порты_без_псевдономов_ru</v>
      </c>
      <c r="D61" s="12" t="str">
        <f t="shared" si="3"/>
        <v>=HYPERLINK("[san_automation_info.xlsx]customer_report!BG3";"Порты_без_псевдономов_ru")</v>
      </c>
      <c r="E61" t="str">
        <f t="shared" si="4"/>
        <v>BG3</v>
      </c>
      <c r="F61" t="s">
        <v>3159</v>
      </c>
      <c r="G61" t="s">
        <v>3169</v>
      </c>
    </row>
    <row r="62" spans="1:7" x14ac:dyDescent="0.25">
      <c r="A62" s="36" t="s">
        <v>3215</v>
      </c>
      <c r="B62" s="36"/>
      <c r="C62" s="2" t="str">
        <f>HYPERLINK("[san_automation_info.xlsx]customer_report!BH3","Отсутствуют_в_сети_eng")</f>
        <v>Отсутствуют_в_сети_eng</v>
      </c>
      <c r="D62" s="12" t="str">
        <f t="shared" si="3"/>
        <v>=HYPERLINK("[san_automation_info.xlsx]customer_report!BH3";"Отсутствуют_в_сети_eng")</v>
      </c>
      <c r="E62" t="str">
        <f t="shared" si="4"/>
        <v>BH3</v>
      </c>
      <c r="F62" t="s">
        <v>3159</v>
      </c>
      <c r="G62" t="s">
        <v>3171</v>
      </c>
    </row>
    <row r="63" spans="1:7" x14ac:dyDescent="0.25">
      <c r="A63" s="36" t="s">
        <v>3216</v>
      </c>
      <c r="B63" s="36"/>
      <c r="C63" s="2" t="str">
        <f>HYPERLINK("[san_automation_info.xlsx]customer_report!BI3","Отсутствуют_в_сети_ru")</f>
        <v>Отсутствуют_в_сети_ru</v>
      </c>
      <c r="D63" s="12" t="str">
        <f t="shared" si="3"/>
        <v>=HYPERLINK("[san_automation_info.xlsx]customer_report!BI3";"Отсутствуют_в_сети_ru")</v>
      </c>
      <c r="E63" t="str">
        <f t="shared" si="4"/>
        <v>BI3</v>
      </c>
      <c r="F63" t="s">
        <v>3159</v>
      </c>
      <c r="G63" t="s">
        <v>3173</v>
      </c>
    </row>
    <row r="64" spans="1:7" x14ac:dyDescent="0.25">
      <c r="A64" s="43" t="s">
        <v>3217</v>
      </c>
      <c r="B64" s="43"/>
      <c r="C64" s="2" t="str">
        <f>HYPERLINK("[san_automation_info.xlsx]customer_report!BJ3","Статистика_зон_eng")</f>
        <v>Статистика_зон_eng</v>
      </c>
      <c r="D64" s="12" t="str">
        <f t="shared" si="3"/>
        <v>=HYPERLINK("[san_automation_info.xlsx]customer_report!BJ3";"Статистика_зон_eng")</v>
      </c>
      <c r="E64" t="str">
        <f t="shared" si="4"/>
        <v>BJ3</v>
      </c>
      <c r="F64" t="s">
        <v>3159</v>
      </c>
      <c r="G64" t="s">
        <v>3175</v>
      </c>
    </row>
    <row r="65" spans="1:7" x14ac:dyDescent="0.25">
      <c r="A65" s="43" t="s">
        <v>3218</v>
      </c>
      <c r="B65" s="43"/>
      <c r="C65" s="2" t="str">
        <f>HYPERLINK("[san_automation_info.xlsx]customer_report!BK3","Статистика_зон_ru")</f>
        <v>Статистика_зон_ru</v>
      </c>
      <c r="D65" s="12" t="str">
        <f t="shared" si="3"/>
        <v>=HYPERLINK("[san_automation_info.xlsx]customer_report!BK3";"Статистика_зон_ru")</v>
      </c>
      <c r="E65" t="str">
        <f t="shared" si="4"/>
        <v>BK3</v>
      </c>
      <c r="F65" t="s">
        <v>3159</v>
      </c>
      <c r="G65" t="s">
        <v>3177</v>
      </c>
    </row>
    <row r="66" spans="1:7" x14ac:dyDescent="0.25">
      <c r="A66" s="41" t="s">
        <v>3219</v>
      </c>
      <c r="B66" s="41"/>
      <c r="C66" s="2" t="str">
        <f>HYPERLINK("[san_automation_info.xlsx]customer_report!BL3","Статистика_псевдонимов_eng")</f>
        <v>Статистика_псевдонимов_eng</v>
      </c>
      <c r="D66" s="12" t="str">
        <f t="shared" si="3"/>
        <v>=HYPERLINK("[san_automation_info.xlsx]customer_report!BL3";"Статистика_псевдонимов_eng")</v>
      </c>
      <c r="E66" t="str">
        <f t="shared" si="4"/>
        <v>BL3</v>
      </c>
      <c r="F66" t="s">
        <v>3159</v>
      </c>
      <c r="G66" t="s">
        <v>3179</v>
      </c>
    </row>
    <row r="67" spans="1:7" x14ac:dyDescent="0.25">
      <c r="A67" s="41" t="s">
        <v>3220</v>
      </c>
      <c r="B67" s="41"/>
      <c r="C67" s="2" t="str">
        <f>HYPERLINK("[san_automation_info.xlsx]customer_report!BM3","Статистика_псевдонимов_ru")</f>
        <v>Статистика_псевдонимов_ru</v>
      </c>
      <c r="D67" s="12" t="str">
        <f t="shared" ref="D67:D83" si="5">CONCATENATE("=HYPERLINK(","""[san_automation_info.xlsx]customer_report!",E67,"""",";","""",A67,"""", ")")</f>
        <v>=HYPERLINK("[san_automation_info.xlsx]customer_report!BM3";"Статистика_псевдонимов_ru")</v>
      </c>
      <c r="E67" t="str">
        <f t="shared" ref="E67:E83" si="6">CONCATENATE(F67,G67,"3")</f>
        <v>BM3</v>
      </c>
      <c r="F67" t="s">
        <v>3159</v>
      </c>
      <c r="G67" t="s">
        <v>3181</v>
      </c>
    </row>
    <row r="68" spans="1:7" x14ac:dyDescent="0.25">
      <c r="A68" s="32" t="s">
        <v>3221</v>
      </c>
      <c r="B68" s="32"/>
      <c r="C68" s="2" t="str">
        <f>HYPERLINK("[san_automation_info.xlsx]customer_report!BN3","Статистика_конфигурации_eng")</f>
        <v>Статистика_конфигурации_eng</v>
      </c>
      <c r="D68" s="12" t="str">
        <f t="shared" si="5"/>
        <v>=HYPERLINK("[san_automation_info.xlsx]customer_report!BN3";"Статистика_конфигурации_eng")</v>
      </c>
      <c r="E68" t="str">
        <f t="shared" si="6"/>
        <v>BN3</v>
      </c>
      <c r="F68" t="s">
        <v>3159</v>
      </c>
      <c r="G68" t="s">
        <v>3183</v>
      </c>
    </row>
    <row r="69" spans="1:7" x14ac:dyDescent="0.25">
      <c r="A69" s="32" t="s">
        <v>3222</v>
      </c>
      <c r="B69" s="32"/>
      <c r="C69" s="2" t="str">
        <f>HYPERLINK("[san_automation_info.xlsx]customer_report!BO3","Статистика_конфигурации_ru")</f>
        <v>Статистика_конфигурации_ru</v>
      </c>
      <c r="D69" s="12" t="str">
        <f t="shared" si="5"/>
        <v>=HYPERLINK("[san_automation_info.xlsx]customer_report!BO3";"Статистика_конфигурации_ru")</v>
      </c>
      <c r="E69" t="str">
        <f t="shared" si="6"/>
        <v>BO3</v>
      </c>
      <c r="F69" t="s">
        <v>3159</v>
      </c>
      <c r="G69" t="s">
        <v>3185</v>
      </c>
    </row>
    <row r="70" spans="1:7" x14ac:dyDescent="0.25">
      <c r="A70" s="21" t="s">
        <v>3223</v>
      </c>
      <c r="B70" s="21"/>
      <c r="C70" s="2" t="str">
        <f>HYPERLINK("[san_automation_info.xlsx]customer_report!BP3","Датчики_eng")</f>
        <v>Датчики_eng</v>
      </c>
      <c r="D70" s="12" t="str">
        <f t="shared" si="5"/>
        <v>=HYPERLINK("[san_automation_info.xlsx]customer_report!BP3";"Датчики_eng")</v>
      </c>
      <c r="E70" t="str">
        <f t="shared" si="6"/>
        <v>BP3</v>
      </c>
      <c r="F70" t="s">
        <v>3159</v>
      </c>
      <c r="G70" t="s">
        <v>3187</v>
      </c>
    </row>
    <row r="71" spans="1:7" x14ac:dyDescent="0.25">
      <c r="A71" s="21" t="s">
        <v>3224</v>
      </c>
      <c r="B71" s="21"/>
      <c r="C71" s="2" t="str">
        <f>HYPERLINK("[san_automation_info.xlsx]customer_report!BQ3","Датчики_ru")</f>
        <v>Датчики_ru</v>
      </c>
      <c r="D71" s="12" t="str">
        <f t="shared" si="5"/>
        <v>=HYPERLINK("[san_automation_info.xlsx]customer_report!BQ3";"Датчики_ru")</v>
      </c>
      <c r="E71" t="str">
        <f t="shared" si="6"/>
        <v>BQ3</v>
      </c>
      <c r="F71" t="s">
        <v>3159</v>
      </c>
      <c r="G71" t="s">
        <v>3189</v>
      </c>
    </row>
    <row r="72" spans="1:7" x14ac:dyDescent="0.25">
      <c r="A72" s="63" t="s">
        <v>3225</v>
      </c>
      <c r="B72" s="63"/>
      <c r="C72" s="2" t="str">
        <f>HYPERLINK("[san_automation_info.xlsx]customer_report!BR3","Датчики_перевод_eng")</f>
        <v>Датчики_перевод_eng</v>
      </c>
      <c r="D72" s="12" t="str">
        <f t="shared" si="5"/>
        <v>=HYPERLINK("[san_automation_info.xlsx]customer_report!BR3";"Датчики_перевод_eng")</v>
      </c>
      <c r="E72" t="str">
        <f t="shared" si="6"/>
        <v>BR3</v>
      </c>
      <c r="F72" t="s">
        <v>3159</v>
      </c>
      <c r="G72" t="s">
        <v>3191</v>
      </c>
    </row>
    <row r="73" spans="1:7" x14ac:dyDescent="0.25">
      <c r="A73" s="63" t="s">
        <v>3226</v>
      </c>
      <c r="B73" s="63"/>
      <c r="C73" s="2" t="str">
        <f>HYPERLINK("[san_automation_info.xlsx]customer_report!BS3","Датчики_перевод_ru")</f>
        <v>Датчики_перевод_ru</v>
      </c>
      <c r="D73" s="12" t="str">
        <f t="shared" si="5"/>
        <v>=HYPERLINK("[san_automation_info.xlsx]customer_report!BS3";"Датчики_перевод_ru")</v>
      </c>
      <c r="E73" t="str">
        <f t="shared" si="6"/>
        <v>BS3</v>
      </c>
      <c r="F73" t="s">
        <v>3159</v>
      </c>
      <c r="G73" t="s">
        <v>3193</v>
      </c>
    </row>
    <row r="74" spans="1:7" x14ac:dyDescent="0.25">
      <c r="A74" s="43" t="s">
        <v>3227</v>
      </c>
      <c r="B74" s="43"/>
      <c r="C74" s="2" t="str">
        <f>HYPERLINK("[san_automation_info.xlsx]customer_report!BT3","Статистика_подключения_устройств_перевод_eng")</f>
        <v>Статистика_подключения_устройств_перевод_eng</v>
      </c>
      <c r="D74" s="12" t="str">
        <f t="shared" si="5"/>
        <v>=HYPERLINK("[san_automation_info.xlsx]customer_report!BT3";"Статистика_подключения_устройств_перевод_eng")</v>
      </c>
      <c r="E74" t="str">
        <f t="shared" si="6"/>
        <v>BT3</v>
      </c>
      <c r="F74" t="s">
        <v>3159</v>
      </c>
      <c r="G74" t="s">
        <v>3195</v>
      </c>
    </row>
    <row r="75" spans="1:7" x14ac:dyDescent="0.25">
      <c r="A75" s="43" t="s">
        <v>3228</v>
      </c>
      <c r="B75" s="43"/>
      <c r="C75" s="2" t="str">
        <f>HYPERLINK("[san_automation_info.xlsx]customer_report!BU3","Статистика_подключения_устройств_перевод_ru")</f>
        <v>Статистика_подключения_устройств_перевод_ru</v>
      </c>
      <c r="D75" s="12" t="str">
        <f t="shared" si="5"/>
        <v>=HYPERLINK("[san_automation_info.xlsx]customer_report!BU3";"Статистика_подключения_устройств_перевод_ru")</v>
      </c>
      <c r="E75" t="str">
        <f t="shared" si="6"/>
        <v>BU3</v>
      </c>
      <c r="F75" t="s">
        <v>3159</v>
      </c>
      <c r="G75" t="s">
        <v>3197</v>
      </c>
    </row>
    <row r="76" spans="1:7" x14ac:dyDescent="0.25">
      <c r="A76" s="73" t="s">
        <v>3229</v>
      </c>
      <c r="B76" s="73"/>
      <c r="C76" s="2" t="str">
        <f>HYPERLINK("[san_automation_info.xlsx]customer_report!BV3","Статистика_ISL_перевод_eng")</f>
        <v>Статистика_ISL_перевод_eng</v>
      </c>
      <c r="D76" s="12" t="str">
        <f t="shared" si="5"/>
        <v>=HYPERLINK("[san_automation_info.xlsx]customer_report!BV3";"Статистика_ISL_перевод_eng")</v>
      </c>
      <c r="E76" t="str">
        <f t="shared" si="6"/>
        <v>BV3</v>
      </c>
      <c r="F76" t="s">
        <v>3159</v>
      </c>
      <c r="G76" t="s">
        <v>3199</v>
      </c>
    </row>
    <row r="77" spans="1:7" x14ac:dyDescent="0.25">
      <c r="A77" s="73" t="s">
        <v>3230</v>
      </c>
      <c r="B77" s="73"/>
      <c r="C77" s="2" t="str">
        <f>HYPERLINK("[san_automation_info.xlsx]customer_report!BW3","Статистика_ISL_перевод_ru")</f>
        <v>Статистика_ISL_перевод_ru</v>
      </c>
      <c r="D77" s="12" t="str">
        <f t="shared" si="5"/>
        <v>=HYPERLINK("[san_automation_info.xlsx]customer_report!BW3";"Статистика_ISL_перевод_ru")</v>
      </c>
      <c r="E77" t="str">
        <f t="shared" si="6"/>
        <v>BW3</v>
      </c>
      <c r="F77" t="s">
        <v>3159</v>
      </c>
      <c r="G77" t="s">
        <v>3201</v>
      </c>
    </row>
    <row r="78" spans="1:7" x14ac:dyDescent="0.25">
      <c r="A78" s="43" t="s">
        <v>3231</v>
      </c>
      <c r="B78" s="43"/>
      <c r="C78" s="2" t="str">
        <f>HYPERLINK("[san_automation_info.xlsx]customer_report!BX3","Статистика_соединений_eng")</f>
        <v>Статистика_соединений_eng</v>
      </c>
      <c r="D78" s="12" t="str">
        <f t="shared" si="5"/>
        <v>=HYPERLINK("[san_automation_info.xlsx]customer_report!BX3";"Статистика_соединений_eng")</v>
      </c>
      <c r="E78" t="str">
        <f t="shared" si="6"/>
        <v>BX3</v>
      </c>
      <c r="F78" t="s">
        <v>3159</v>
      </c>
      <c r="G78" t="s">
        <v>3203</v>
      </c>
    </row>
    <row r="79" spans="1:7" x14ac:dyDescent="0.25">
      <c r="A79" s="43" t="s">
        <v>3232</v>
      </c>
      <c r="B79" s="43"/>
      <c r="C79" s="2" t="str">
        <f>HYPERLINK("[san_automation_info.xlsx]customer_report!BY3","Статистика_соединений_ru")</f>
        <v>Статистика_соединений_ru</v>
      </c>
      <c r="D79" s="12" t="str">
        <f t="shared" si="5"/>
        <v>=HYPERLINK("[san_automation_info.xlsx]customer_report!BY3";"Статистика_соединений_ru")</v>
      </c>
      <c r="E79" t="str">
        <f t="shared" si="6"/>
        <v>BY3</v>
      </c>
      <c r="F79" t="s">
        <v>3159</v>
      </c>
      <c r="G79" t="s">
        <v>3205</v>
      </c>
    </row>
    <row r="80" spans="1:7" x14ac:dyDescent="0.25">
      <c r="A80" s="37" t="s">
        <v>3233</v>
      </c>
      <c r="B80" s="37"/>
      <c r="C80" s="2" t="str">
        <f>HYPERLINK("[san_automation_info.xlsx]customer_report!BZ3","Журнал_eng")</f>
        <v>Журнал_eng</v>
      </c>
      <c r="D80" s="12" t="str">
        <f t="shared" si="5"/>
        <v>=HYPERLINK("[san_automation_info.xlsx]customer_report!BZ3";"Журнал_eng")</v>
      </c>
      <c r="E80" t="str">
        <f t="shared" si="6"/>
        <v>BZ3</v>
      </c>
      <c r="F80" t="s">
        <v>3159</v>
      </c>
      <c r="G80" t="s">
        <v>3207</v>
      </c>
    </row>
    <row r="81" spans="1:7" x14ac:dyDescent="0.25">
      <c r="A81" s="37" t="s">
        <v>3234</v>
      </c>
      <c r="B81" s="37"/>
      <c r="C81" s="2" t="str">
        <f>HYPERLINK("[san_automation_info.xlsx]customer_report!CA3","Журнал_ru")</f>
        <v>Журнал_ru</v>
      </c>
      <c r="D81" s="12" t="str">
        <f t="shared" si="5"/>
        <v>=HYPERLINK("[san_automation_info.xlsx]customer_report!CA3";"Журнал_ru")</v>
      </c>
      <c r="E81" t="str">
        <f t="shared" si="6"/>
        <v>CA3</v>
      </c>
      <c r="F81" t="s">
        <v>3161</v>
      </c>
      <c r="G81" t="s">
        <v>3157</v>
      </c>
    </row>
    <row r="82" spans="1:7" x14ac:dyDescent="0.25">
      <c r="A82" s="59" t="s">
        <v>3235</v>
      </c>
      <c r="B82" s="59"/>
      <c r="C82" s="2" t="str">
        <f>HYPERLINK("[san_automation_info.xlsx]customer_report!CB3","Презентация_eng")</f>
        <v>Презентация_eng</v>
      </c>
      <c r="D82" s="12" t="str">
        <f t="shared" si="5"/>
        <v>=HYPERLINK("[san_automation_info.xlsx]customer_report!CB3";"Презентация_eng")</v>
      </c>
      <c r="E82" t="str">
        <f t="shared" si="6"/>
        <v>CB3</v>
      </c>
      <c r="F82" t="s">
        <v>3161</v>
      </c>
      <c r="G82" t="s">
        <v>3159</v>
      </c>
    </row>
    <row r="83" spans="1:7" x14ac:dyDescent="0.25">
      <c r="A83" s="59" t="s">
        <v>3236</v>
      </c>
      <c r="B83" s="59"/>
      <c r="C83" s="2" t="str">
        <f>HYPERLINK("[san_automation_info.xlsx]customer_report!CC3","Презентация_ru")</f>
        <v>Презентация_ru</v>
      </c>
      <c r="D83" s="12" t="str">
        <f t="shared" si="5"/>
        <v>=HYPERLINK("[san_automation_info.xlsx]customer_report!CC3";"Презентация_ru")</v>
      </c>
      <c r="E83" t="str">
        <f t="shared" si="6"/>
        <v>CC3</v>
      </c>
      <c r="F83" t="s">
        <v>3161</v>
      </c>
      <c r="G83" t="s">
        <v>3161</v>
      </c>
    </row>
    <row r="84" spans="1:7" x14ac:dyDescent="0.25">
      <c r="A84" s="93" t="s">
        <v>4559</v>
      </c>
      <c r="B84" s="94"/>
      <c r="C84" s="82" t="str">
        <f>HYPERLINK("[san_automation_info.xlsx]customer_report!CD3","Статистика_SFP_перевод_eng")</f>
        <v>Статистика_SFP_перевод_eng</v>
      </c>
      <c r="D84" s="12" t="str">
        <f>CONCATENATE("=ГИПЕРССЫЛКА(","""[san_automation_info.xlsx]customer_report!",E84,"""",";","""",A84,"""", ")")</f>
        <v>=ГИПЕРССЫЛКА("[san_automation_info.xlsx]customer_report!CD3";"Статистика_SFP_перевод_eng")</v>
      </c>
      <c r="E84" t="str">
        <f t="shared" ref="E84:E85" si="7">CONCATENATE(F84,G84,"3")</f>
        <v>CD3</v>
      </c>
      <c r="F84" t="s">
        <v>3161</v>
      </c>
      <c r="G84" t="s">
        <v>3163</v>
      </c>
    </row>
    <row r="85" spans="1:7" x14ac:dyDescent="0.25">
      <c r="A85" s="93" t="s">
        <v>4560</v>
      </c>
      <c r="B85" s="94"/>
      <c r="C85" s="82" t="str">
        <f>HYPERLINK("[san_automation_info.xlsx]customer_report!CE3","Статистика_SFP_перевод_ru")</f>
        <v>Статистика_SFP_перевод_ru</v>
      </c>
      <c r="D85" s="12" t="str">
        <f>CONCATENATE("=ГИПЕРССЫЛКА(","""[san_automation_info.xlsx]customer_report!",E85,"""",";","""",A85,"""", ")")</f>
        <v>=ГИПЕРССЫЛКА("[san_automation_info.xlsx]customer_report!CE3";"Статистика_SFP_перевод_ru")</v>
      </c>
      <c r="E85" t="str">
        <f t="shared" si="7"/>
        <v>CE3</v>
      </c>
      <c r="F85" t="s">
        <v>3161</v>
      </c>
      <c r="G85" t="s">
        <v>3165</v>
      </c>
    </row>
    <row r="86" spans="1:7" x14ac:dyDescent="0.25">
      <c r="F86" t="s">
        <v>3161</v>
      </c>
      <c r="G86" t="s">
        <v>3167</v>
      </c>
    </row>
    <row r="87" spans="1:7" x14ac:dyDescent="0.25">
      <c r="F87" t="s">
        <v>3161</v>
      </c>
      <c r="G87" t="s">
        <v>3169</v>
      </c>
    </row>
    <row r="88" spans="1:7" x14ac:dyDescent="0.25">
      <c r="F88" t="s">
        <v>3161</v>
      </c>
      <c r="G88" t="s">
        <v>3171</v>
      </c>
    </row>
    <row r="89" spans="1:7" x14ac:dyDescent="0.25">
      <c r="F89" t="s">
        <v>3161</v>
      </c>
      <c r="G89" t="s">
        <v>3173</v>
      </c>
    </row>
    <row r="90" spans="1:7" x14ac:dyDescent="0.25">
      <c r="F90" t="s">
        <v>3161</v>
      </c>
      <c r="G90" t="s">
        <v>3175</v>
      </c>
    </row>
    <row r="91" spans="1:7" x14ac:dyDescent="0.25">
      <c r="F91" t="s">
        <v>3161</v>
      </c>
      <c r="G91" t="s">
        <v>3177</v>
      </c>
    </row>
    <row r="92" spans="1:7" x14ac:dyDescent="0.25">
      <c r="F92" t="s">
        <v>3161</v>
      </c>
      <c r="G92" t="s">
        <v>3179</v>
      </c>
    </row>
    <row r="93" spans="1:7" x14ac:dyDescent="0.25">
      <c r="F93" t="s">
        <v>3161</v>
      </c>
      <c r="G93" t="s">
        <v>3181</v>
      </c>
    </row>
    <row r="94" spans="1:7" x14ac:dyDescent="0.25">
      <c r="F94" t="s">
        <v>3161</v>
      </c>
      <c r="G94" t="s">
        <v>3183</v>
      </c>
    </row>
    <row r="95" spans="1:7" x14ac:dyDescent="0.25">
      <c r="F95" t="s">
        <v>3161</v>
      </c>
      <c r="G95" t="s">
        <v>3185</v>
      </c>
    </row>
    <row r="96" spans="1:7" x14ac:dyDescent="0.25">
      <c r="F96" t="s">
        <v>3161</v>
      </c>
      <c r="G96" t="s">
        <v>3187</v>
      </c>
    </row>
    <row r="97" spans="6:7" x14ac:dyDescent="0.25">
      <c r="F97" t="s">
        <v>3161</v>
      </c>
      <c r="G97" t="s">
        <v>3189</v>
      </c>
    </row>
    <row r="98" spans="6:7" x14ac:dyDescent="0.25">
      <c r="F98" t="s">
        <v>3161</v>
      </c>
      <c r="G98" t="s">
        <v>3191</v>
      </c>
    </row>
    <row r="99" spans="6:7" x14ac:dyDescent="0.25">
      <c r="F99" t="s">
        <v>3161</v>
      </c>
      <c r="G99" t="s">
        <v>3193</v>
      </c>
    </row>
    <row r="100" spans="6:7" x14ac:dyDescent="0.25">
      <c r="F100" t="s">
        <v>3161</v>
      </c>
      <c r="G100" t="s">
        <v>3195</v>
      </c>
    </row>
    <row r="101" spans="6:7" x14ac:dyDescent="0.25">
      <c r="F101" t="s">
        <v>3161</v>
      </c>
      <c r="G101" t="s">
        <v>3197</v>
      </c>
    </row>
    <row r="102" spans="6:7" x14ac:dyDescent="0.25">
      <c r="F102" t="s">
        <v>3161</v>
      </c>
      <c r="G102" t="s">
        <v>3199</v>
      </c>
    </row>
    <row r="103" spans="6:7" x14ac:dyDescent="0.25">
      <c r="F103" t="s">
        <v>3161</v>
      </c>
      <c r="G103" t="s">
        <v>3201</v>
      </c>
    </row>
    <row r="104" spans="6:7" x14ac:dyDescent="0.25">
      <c r="F104" t="s">
        <v>3161</v>
      </c>
      <c r="G104" t="s">
        <v>3203</v>
      </c>
    </row>
    <row r="105" spans="6:7" x14ac:dyDescent="0.25">
      <c r="F105" t="s">
        <v>3161</v>
      </c>
      <c r="G105" t="s">
        <v>3205</v>
      </c>
    </row>
    <row r="106" spans="6:7" x14ac:dyDescent="0.25">
      <c r="F106" t="s">
        <v>3161</v>
      </c>
      <c r="G106" t="s">
        <v>3207</v>
      </c>
    </row>
  </sheetData>
  <pageMargins left="0.7" right="0.7" top="0.75" bottom="0.75" header="0.511811023622047" footer="0.511811023622047"/>
  <pageSetup paperSize="9" orientation="portrait"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P198"/>
  <sheetViews>
    <sheetView topLeftCell="AJ1" zoomScaleNormal="100" workbookViewId="0">
      <pane ySplit="3" topLeftCell="A25" activePane="bottomLeft" state="frozen"/>
      <selection activeCell="AI1" sqref="AI1"/>
      <selection pane="bottomLeft" activeCell="AL57" sqref="AL57"/>
    </sheetView>
  </sheetViews>
  <sheetFormatPr defaultColWidth="8.7109375" defaultRowHeight="15" x14ac:dyDescent="0.25"/>
  <cols>
    <col min="1" max="1" width="32.140625" customWidth="1"/>
    <col min="2" max="2" width="43.42578125" customWidth="1"/>
    <col min="3" max="3" width="27.42578125" customWidth="1"/>
    <col min="4" max="4" width="35.42578125" customWidth="1"/>
    <col min="5" max="5" width="28.85546875" customWidth="1"/>
    <col min="6" max="6" width="37.28515625" customWidth="1"/>
    <col min="7" max="7" width="33.140625" customWidth="1"/>
    <col min="8" max="8" width="39.5703125" customWidth="1"/>
    <col min="9" max="9" width="37.5703125" customWidth="1"/>
    <col min="10" max="10" width="39.42578125" customWidth="1"/>
    <col min="11" max="11" width="34" customWidth="1"/>
    <col min="12" max="14" width="33.5703125" customWidth="1"/>
    <col min="15" max="15" width="30.140625" customWidth="1"/>
    <col min="16" max="16" width="36.5703125" customWidth="1"/>
    <col min="17" max="17" width="40.140625" customWidth="1"/>
    <col min="18" max="18" width="63.42578125" customWidth="1"/>
    <col min="19" max="20" width="30.140625" customWidth="1"/>
    <col min="21" max="21" width="42.85546875" customWidth="1"/>
    <col min="22" max="23" width="47.5703125" customWidth="1"/>
    <col min="24" max="24" width="35.7109375" customWidth="1"/>
    <col min="25" max="25" width="37.85546875" customWidth="1"/>
    <col min="26" max="26" width="30" customWidth="1"/>
    <col min="27" max="27" width="32" customWidth="1"/>
    <col min="28" max="29" width="23.140625" customWidth="1"/>
    <col min="30" max="30" width="20.85546875" customWidth="1"/>
    <col min="31" max="31" width="33.42578125" customWidth="1"/>
    <col min="32" max="32" width="44.7109375" customWidth="1"/>
    <col min="33" max="33" width="50.42578125" customWidth="1"/>
    <col min="34" max="34" width="30.140625" customWidth="1"/>
    <col min="35" max="35" width="53.42578125" customWidth="1"/>
    <col min="36" max="36" width="32.28515625" customWidth="1"/>
    <col min="37" max="37" width="32" customWidth="1"/>
    <col min="38" max="38" width="28" customWidth="1"/>
    <col min="39" max="39" width="33.85546875" customWidth="1"/>
    <col min="40" max="40" width="28.7109375" customWidth="1"/>
    <col min="41" max="41" width="42.28515625" customWidth="1"/>
    <col min="42" max="42" width="29.42578125" customWidth="1"/>
    <col min="43" max="43" width="38" customWidth="1"/>
    <col min="44" max="44" width="30" customWidth="1"/>
    <col min="45" max="45" width="26.42578125" customWidth="1"/>
    <col min="46" max="46" width="37.7109375" customWidth="1"/>
    <col min="47" max="47" width="34.42578125" customWidth="1"/>
    <col min="48" max="49" width="33.5703125" customWidth="1"/>
    <col min="50" max="50" width="56.5703125" customWidth="1"/>
    <col min="51" max="51" width="54.7109375" customWidth="1"/>
    <col min="52" max="52" width="35.5703125" customWidth="1"/>
    <col min="53" max="53" width="49.7109375" customWidth="1"/>
    <col min="54" max="54" width="37.7109375" customWidth="1"/>
    <col min="55" max="55" width="45" customWidth="1"/>
    <col min="56" max="58" width="34.5703125" customWidth="1"/>
    <col min="59" max="61" width="39.7109375" customWidth="1"/>
    <col min="62" max="62" width="45.28515625" customWidth="1"/>
    <col min="63" max="63" width="47.85546875" customWidth="1"/>
    <col min="64" max="64" width="44.85546875" customWidth="1"/>
    <col min="65" max="65" width="62.28515625" customWidth="1"/>
    <col min="66" max="66" width="44.85546875" customWidth="1"/>
    <col min="67" max="67" width="55.42578125" customWidth="1"/>
    <col min="68" max="68" width="35.140625" customWidth="1"/>
    <col min="69" max="69" width="23" customWidth="1"/>
    <col min="70" max="71" width="31.28515625" customWidth="1"/>
    <col min="72" max="72" width="57.7109375" customWidth="1"/>
    <col min="73" max="73" width="58.28515625" customWidth="1"/>
    <col min="74" max="74" width="52.42578125" customWidth="1"/>
    <col min="75" max="75" width="69.7109375" customWidth="1"/>
    <col min="76" max="76" width="109.5703125" customWidth="1"/>
    <col min="77" max="77" width="98.7109375" customWidth="1"/>
    <col min="78" max="78" width="30.28515625" customWidth="1"/>
    <col min="79" max="79" width="36" customWidth="1"/>
    <col min="80" max="80" width="36.85546875" customWidth="1"/>
    <col min="81" max="81" width="58.7109375" customWidth="1"/>
    <col min="82" max="82" width="48.5703125" customWidth="1"/>
    <col min="83" max="83" width="82" customWidth="1"/>
    <col min="84" max="84" width="72.85546875" customWidth="1"/>
    <col min="85" max="85" width="40.7109375" customWidth="1"/>
  </cols>
  <sheetData>
    <row r="1" spans="1:94" x14ac:dyDescent="0.25">
      <c r="A1" s="2" t="s">
        <v>0</v>
      </c>
      <c r="B1" s="2" t="s">
        <v>0</v>
      </c>
      <c r="C1" s="2" t="s">
        <v>0</v>
      </c>
      <c r="D1" s="2" t="s">
        <v>0</v>
      </c>
      <c r="E1" s="2" t="s">
        <v>0</v>
      </c>
      <c r="F1" s="2" t="s">
        <v>0</v>
      </c>
      <c r="G1" s="2" t="s">
        <v>0</v>
      </c>
      <c r="H1" s="2" t="s">
        <v>0</v>
      </c>
      <c r="I1" s="2" t="s">
        <v>0</v>
      </c>
      <c r="J1" s="2" t="s">
        <v>0</v>
      </c>
      <c r="K1" s="2" t="s">
        <v>0</v>
      </c>
      <c r="L1" s="2" t="s">
        <v>0</v>
      </c>
      <c r="M1" s="2" t="s">
        <v>0</v>
      </c>
      <c r="N1" s="2" t="s">
        <v>0</v>
      </c>
      <c r="O1" s="2" t="s">
        <v>0</v>
      </c>
      <c r="P1" s="2" t="s">
        <v>0</v>
      </c>
      <c r="Q1" s="2" t="s">
        <v>0</v>
      </c>
      <c r="R1" s="2" t="s">
        <v>0</v>
      </c>
      <c r="S1" s="2" t="s">
        <v>0</v>
      </c>
      <c r="T1" s="2" t="s">
        <v>0</v>
      </c>
      <c r="U1" s="2" t="s">
        <v>0</v>
      </c>
      <c r="V1" s="2" t="s">
        <v>0</v>
      </c>
      <c r="W1" s="2" t="s">
        <v>0</v>
      </c>
      <c r="X1" s="2" t="s">
        <v>0</v>
      </c>
      <c r="Y1" s="2" t="s">
        <v>0</v>
      </c>
      <c r="Z1" s="2" t="s">
        <v>0</v>
      </c>
      <c r="AA1" s="2" t="s">
        <v>0</v>
      </c>
      <c r="AB1" s="2" t="s">
        <v>0</v>
      </c>
      <c r="AC1" s="2" t="s">
        <v>0</v>
      </c>
      <c r="AD1" s="2" t="s">
        <v>0</v>
      </c>
      <c r="AE1" s="2" t="s">
        <v>0</v>
      </c>
      <c r="AF1" s="2" t="s">
        <v>0</v>
      </c>
      <c r="AG1" s="2" t="s">
        <v>0</v>
      </c>
      <c r="AH1" s="2" t="s">
        <v>0</v>
      </c>
      <c r="AI1" s="2" t="s">
        <v>0</v>
      </c>
      <c r="AJ1" s="2" t="s">
        <v>0</v>
      </c>
      <c r="AK1" s="2" t="s">
        <v>0</v>
      </c>
      <c r="AL1" s="2" t="s">
        <v>0</v>
      </c>
      <c r="AM1" s="2" t="s">
        <v>0</v>
      </c>
      <c r="AN1" s="2" t="s">
        <v>0</v>
      </c>
      <c r="AO1" s="2" t="s">
        <v>0</v>
      </c>
      <c r="AP1" s="2" t="s">
        <v>0</v>
      </c>
      <c r="AQ1" s="2" t="s">
        <v>0</v>
      </c>
      <c r="AR1" s="2" t="s">
        <v>0</v>
      </c>
      <c r="AS1" s="2" t="s">
        <v>0</v>
      </c>
      <c r="AT1" s="2" t="s">
        <v>0</v>
      </c>
      <c r="AU1" s="2" t="s">
        <v>0</v>
      </c>
      <c r="AV1" s="2" t="s">
        <v>0</v>
      </c>
      <c r="AW1" s="2" t="s">
        <v>0</v>
      </c>
      <c r="AX1" s="2" t="s">
        <v>0</v>
      </c>
      <c r="AY1" s="2" t="s">
        <v>0</v>
      </c>
      <c r="AZ1" s="2" t="s">
        <v>0</v>
      </c>
      <c r="BA1" s="2" t="s">
        <v>0</v>
      </c>
      <c r="BB1" s="2" t="s">
        <v>0</v>
      </c>
      <c r="BC1" s="2" t="s">
        <v>0</v>
      </c>
      <c r="BD1" s="2" t="s">
        <v>0</v>
      </c>
      <c r="BE1" s="2" t="s">
        <v>0</v>
      </c>
      <c r="BF1" s="2" t="s">
        <v>0</v>
      </c>
      <c r="BG1" s="2" t="s">
        <v>0</v>
      </c>
      <c r="BH1" s="2" t="s">
        <v>0</v>
      </c>
      <c r="BI1" s="2" t="s">
        <v>0</v>
      </c>
      <c r="BJ1" s="2" t="s">
        <v>0</v>
      </c>
      <c r="BK1" s="2" t="s">
        <v>0</v>
      </c>
      <c r="BL1" s="2" t="s">
        <v>0</v>
      </c>
      <c r="BM1" s="2" t="s">
        <v>0</v>
      </c>
      <c r="BN1" s="2" t="s">
        <v>0</v>
      </c>
      <c r="BO1" s="2" t="s">
        <v>0</v>
      </c>
      <c r="BP1" s="2" t="s">
        <v>0</v>
      </c>
      <c r="BQ1" s="2" t="s">
        <v>0</v>
      </c>
      <c r="BR1" s="2" t="s">
        <v>0</v>
      </c>
      <c r="BS1" s="2" t="s">
        <v>0</v>
      </c>
      <c r="BT1" s="2" t="s">
        <v>0</v>
      </c>
      <c r="BU1" s="2" t="s">
        <v>0</v>
      </c>
      <c r="BV1" s="2" t="s">
        <v>0</v>
      </c>
      <c r="BW1" s="2" t="s">
        <v>0</v>
      </c>
      <c r="BX1" s="2" t="s">
        <v>0</v>
      </c>
      <c r="BY1" s="2" t="s">
        <v>0</v>
      </c>
      <c r="BZ1" s="2" t="s">
        <v>0</v>
      </c>
      <c r="CA1" s="2" t="s">
        <v>0</v>
      </c>
      <c r="CB1" s="2" t="s">
        <v>0</v>
      </c>
      <c r="CC1" s="2" t="s">
        <v>0</v>
      </c>
      <c r="CD1" s="2" t="s">
        <v>0</v>
      </c>
      <c r="CE1" s="2" t="s">
        <v>0</v>
      </c>
      <c r="CF1" s="2" t="s">
        <v>0</v>
      </c>
      <c r="CG1" s="2" t="s">
        <v>0</v>
      </c>
    </row>
    <row r="2" spans="1:94" x14ac:dyDescent="0.25">
      <c r="A2" s="1" t="s">
        <v>49</v>
      </c>
      <c r="B2" s="2" t="s">
        <v>3237</v>
      </c>
      <c r="C2" s="2" t="s">
        <v>3237</v>
      </c>
      <c r="D2" s="2" t="s">
        <v>3237</v>
      </c>
      <c r="E2" s="2" t="s">
        <v>3237</v>
      </c>
      <c r="F2" s="2" t="s">
        <v>3237</v>
      </c>
      <c r="G2" s="2" t="s">
        <v>3237</v>
      </c>
      <c r="H2" s="2" t="s">
        <v>3237</v>
      </c>
      <c r="I2" s="2" t="s">
        <v>3237</v>
      </c>
      <c r="J2" s="2" t="s">
        <v>3237</v>
      </c>
      <c r="K2" s="2" t="s">
        <v>3237</v>
      </c>
      <c r="L2" s="2" t="s">
        <v>3237</v>
      </c>
      <c r="M2" s="2" t="s">
        <v>3237</v>
      </c>
      <c r="N2" s="2" t="s">
        <v>3237</v>
      </c>
      <c r="O2" s="2" t="s">
        <v>3237</v>
      </c>
      <c r="P2" s="2" t="s">
        <v>3237</v>
      </c>
      <c r="Q2" s="2" t="s">
        <v>3237</v>
      </c>
      <c r="R2" s="2" t="s">
        <v>3237</v>
      </c>
      <c r="S2" s="2" t="s">
        <v>3237</v>
      </c>
      <c r="T2" s="2" t="s">
        <v>3237</v>
      </c>
      <c r="U2" s="2" t="s">
        <v>3237</v>
      </c>
      <c r="V2" s="2" t="s">
        <v>3237</v>
      </c>
      <c r="W2" s="2" t="s">
        <v>3237</v>
      </c>
      <c r="X2" s="2" t="s">
        <v>3237</v>
      </c>
      <c r="Y2" s="2" t="s">
        <v>3237</v>
      </c>
      <c r="Z2" s="2" t="s">
        <v>3237</v>
      </c>
      <c r="AA2" s="2" t="s">
        <v>3237</v>
      </c>
      <c r="AB2" s="2" t="s">
        <v>3237</v>
      </c>
      <c r="AC2" s="2" t="s">
        <v>3237</v>
      </c>
      <c r="AD2" s="2" t="s">
        <v>3237</v>
      </c>
      <c r="AE2" s="2" t="s">
        <v>3237</v>
      </c>
      <c r="AF2" s="2" t="s">
        <v>3237</v>
      </c>
      <c r="AG2" s="2" t="s">
        <v>3237</v>
      </c>
      <c r="AH2" s="2" t="s">
        <v>3237</v>
      </c>
      <c r="AI2" s="2" t="s">
        <v>3237</v>
      </c>
      <c r="AJ2" s="2" t="s">
        <v>3237</v>
      </c>
      <c r="AK2" s="2" t="s">
        <v>3237</v>
      </c>
      <c r="AL2" s="2" t="s">
        <v>3237</v>
      </c>
      <c r="AM2" s="2" t="s">
        <v>3237</v>
      </c>
      <c r="AN2" s="2" t="s">
        <v>3237</v>
      </c>
      <c r="AO2" s="2" t="s">
        <v>3237</v>
      </c>
      <c r="AP2" s="2" t="s">
        <v>3237</v>
      </c>
      <c r="AQ2" s="2" t="s">
        <v>3237</v>
      </c>
      <c r="AR2" s="2" t="s">
        <v>3237</v>
      </c>
      <c r="AS2" s="2" t="s">
        <v>3237</v>
      </c>
      <c r="AT2" s="2" t="s">
        <v>3237</v>
      </c>
      <c r="AU2" s="2" t="s">
        <v>3237</v>
      </c>
      <c r="AV2" s="2" t="s">
        <v>3237</v>
      </c>
      <c r="AW2" s="2" t="s">
        <v>3237</v>
      </c>
      <c r="AX2" s="2" t="s">
        <v>3237</v>
      </c>
      <c r="AY2" s="2" t="s">
        <v>3237</v>
      </c>
      <c r="AZ2" s="2" t="s">
        <v>3237</v>
      </c>
      <c r="BA2" s="2" t="s">
        <v>3237</v>
      </c>
      <c r="BB2" s="2" t="s">
        <v>3237</v>
      </c>
      <c r="BC2" s="2" t="s">
        <v>3237</v>
      </c>
      <c r="BD2" s="2" t="s">
        <v>3237</v>
      </c>
      <c r="BE2" s="2" t="s">
        <v>3237</v>
      </c>
      <c r="BF2" s="2" t="s">
        <v>3237</v>
      </c>
      <c r="BG2" s="2" t="s">
        <v>3237</v>
      </c>
      <c r="BH2" s="2" t="s">
        <v>3237</v>
      </c>
      <c r="BI2" s="2" t="s">
        <v>3237</v>
      </c>
      <c r="BJ2" s="2" t="s">
        <v>3237</v>
      </c>
      <c r="BK2" s="2" t="s">
        <v>3237</v>
      </c>
      <c r="BL2" s="2" t="s">
        <v>3237</v>
      </c>
      <c r="BM2" s="2" t="s">
        <v>3237</v>
      </c>
      <c r="BN2" s="2" t="s">
        <v>3237</v>
      </c>
      <c r="BO2" s="2" t="s">
        <v>3237</v>
      </c>
      <c r="BP2" s="2" t="s">
        <v>3237</v>
      </c>
      <c r="BQ2" s="2" t="s">
        <v>3237</v>
      </c>
      <c r="BR2" s="2" t="s">
        <v>3237</v>
      </c>
      <c r="BS2" s="2" t="s">
        <v>3237</v>
      </c>
      <c r="BT2" s="2" t="s">
        <v>3237</v>
      </c>
      <c r="BU2" s="2" t="s">
        <v>3237</v>
      </c>
      <c r="BV2" s="2" t="s">
        <v>3237</v>
      </c>
      <c r="BW2" s="2" t="s">
        <v>3237</v>
      </c>
      <c r="BX2" s="2" t="s">
        <v>3237</v>
      </c>
      <c r="BY2" s="2" t="s">
        <v>3237</v>
      </c>
      <c r="BZ2" s="2" t="s">
        <v>3237</v>
      </c>
      <c r="CA2" s="2" t="s">
        <v>3237</v>
      </c>
      <c r="CB2" s="2" t="s">
        <v>3237</v>
      </c>
      <c r="CC2" s="2" t="s">
        <v>3237</v>
      </c>
      <c r="CD2" s="2" t="s">
        <v>3237</v>
      </c>
      <c r="CE2" s="2" t="s">
        <v>3237</v>
      </c>
      <c r="CF2" s="2" t="s">
        <v>3237</v>
      </c>
      <c r="CG2" s="2" t="s">
        <v>3237</v>
      </c>
    </row>
    <row r="3" spans="1:94" x14ac:dyDescent="0.25">
      <c r="A3" s="39" t="s">
        <v>3128</v>
      </c>
      <c r="B3" s="39" t="s">
        <v>3130</v>
      </c>
      <c r="C3" s="64" t="s">
        <v>3132</v>
      </c>
      <c r="D3" s="64" t="s">
        <v>3133</v>
      </c>
      <c r="E3" s="20" t="s">
        <v>3134</v>
      </c>
      <c r="F3" s="20" t="s">
        <v>3135</v>
      </c>
      <c r="G3" s="41" t="s">
        <v>3136</v>
      </c>
      <c r="H3" s="41" t="s">
        <v>3137</v>
      </c>
      <c r="I3" s="51" t="s">
        <v>3138</v>
      </c>
      <c r="J3" s="51" t="s">
        <v>3139</v>
      </c>
      <c r="K3" s="34" t="s">
        <v>3140</v>
      </c>
      <c r="L3" s="34" t="s">
        <v>3141</v>
      </c>
      <c r="M3" s="45" t="s">
        <v>3142</v>
      </c>
      <c r="N3" s="45" t="s">
        <v>3143</v>
      </c>
      <c r="O3" s="41" t="s">
        <v>3144</v>
      </c>
      <c r="P3" s="41" t="s">
        <v>3145</v>
      </c>
      <c r="Q3" s="26" t="s">
        <v>3146</v>
      </c>
      <c r="R3" s="26" t="s">
        <v>3147</v>
      </c>
      <c r="S3" s="32" t="s">
        <v>3148</v>
      </c>
      <c r="T3" s="32" t="s">
        <v>3149</v>
      </c>
      <c r="U3" s="39" t="s">
        <v>3150</v>
      </c>
      <c r="V3" s="39" t="s">
        <v>3151</v>
      </c>
      <c r="W3" s="28" t="s">
        <v>3152</v>
      </c>
      <c r="X3" s="28" t="s">
        <v>3153</v>
      </c>
      <c r="Y3" s="28" t="s">
        <v>3154</v>
      </c>
      <c r="Z3" s="41" t="s">
        <v>3155</v>
      </c>
      <c r="AA3" s="41" t="s">
        <v>3156</v>
      </c>
      <c r="AB3" s="53" t="s">
        <v>3158</v>
      </c>
      <c r="AC3" s="53" t="s">
        <v>3160</v>
      </c>
      <c r="AD3" s="36" t="s">
        <v>3162</v>
      </c>
      <c r="AE3" s="36" t="s">
        <v>3164</v>
      </c>
      <c r="AF3" s="48" t="s">
        <v>3166</v>
      </c>
      <c r="AG3" s="48" t="s">
        <v>3168</v>
      </c>
      <c r="AH3" s="45" t="s">
        <v>3170</v>
      </c>
      <c r="AI3" s="45" t="s">
        <v>3172</v>
      </c>
      <c r="AJ3" s="53" t="s">
        <v>3174</v>
      </c>
      <c r="AK3" s="53" t="s">
        <v>3176</v>
      </c>
      <c r="AL3" s="25" t="s">
        <v>3178</v>
      </c>
      <c r="AM3" s="25" t="s">
        <v>3180</v>
      </c>
      <c r="AN3" s="43" t="s">
        <v>3182</v>
      </c>
      <c r="AO3" s="43" t="s">
        <v>3184</v>
      </c>
      <c r="AP3" s="59" t="s">
        <v>3186</v>
      </c>
      <c r="AQ3" s="59" t="s">
        <v>3188</v>
      </c>
      <c r="AR3" s="63" t="s">
        <v>3190</v>
      </c>
      <c r="AS3" s="63" t="s">
        <v>3192</v>
      </c>
      <c r="AT3" s="43" t="s">
        <v>3194</v>
      </c>
      <c r="AU3" s="43" t="s">
        <v>3196</v>
      </c>
      <c r="AV3" s="63" t="s">
        <v>3198</v>
      </c>
      <c r="AW3" s="63" t="s">
        <v>3200</v>
      </c>
      <c r="AX3" s="48" t="s">
        <v>3202</v>
      </c>
      <c r="AY3" s="48" t="s">
        <v>3204</v>
      </c>
      <c r="AZ3" s="53" t="s">
        <v>3206</v>
      </c>
      <c r="BA3" s="53" t="s">
        <v>3208</v>
      </c>
      <c r="BB3" s="20" t="s">
        <v>3209</v>
      </c>
      <c r="BC3" s="20" t="s">
        <v>3210</v>
      </c>
      <c r="BD3" s="71" t="s">
        <v>3211</v>
      </c>
      <c r="BE3" s="71" t="s">
        <v>3212</v>
      </c>
      <c r="BF3" s="25" t="s">
        <v>3213</v>
      </c>
      <c r="BG3" s="25" t="s">
        <v>3214</v>
      </c>
      <c r="BH3" s="36" t="s">
        <v>3215</v>
      </c>
      <c r="BI3" s="36" t="s">
        <v>3216</v>
      </c>
      <c r="BJ3" s="43" t="s">
        <v>3217</v>
      </c>
      <c r="BK3" s="43" t="s">
        <v>3218</v>
      </c>
      <c r="BL3" s="41" t="s">
        <v>3219</v>
      </c>
      <c r="BM3" s="41" t="s">
        <v>3220</v>
      </c>
      <c r="BN3" s="32" t="s">
        <v>3221</v>
      </c>
      <c r="BO3" s="32" t="s">
        <v>3222</v>
      </c>
      <c r="BP3" s="21" t="s">
        <v>3223</v>
      </c>
      <c r="BQ3" s="21" t="s">
        <v>3224</v>
      </c>
      <c r="BR3" s="63" t="s">
        <v>3225</v>
      </c>
      <c r="BS3" s="63" t="s">
        <v>3226</v>
      </c>
      <c r="BT3" s="43" t="s">
        <v>3227</v>
      </c>
      <c r="BU3" s="43" t="s">
        <v>3228</v>
      </c>
      <c r="BV3" s="73" t="s">
        <v>3229</v>
      </c>
      <c r="BW3" s="73" t="s">
        <v>3230</v>
      </c>
      <c r="BX3" s="43" t="s">
        <v>3231</v>
      </c>
      <c r="BY3" s="43" t="s">
        <v>3232</v>
      </c>
      <c r="BZ3" s="37" t="s">
        <v>3233</v>
      </c>
      <c r="CA3" s="37" t="s">
        <v>3234</v>
      </c>
      <c r="CB3" s="59" t="s">
        <v>3235</v>
      </c>
      <c r="CC3" s="59" t="s">
        <v>3236</v>
      </c>
      <c r="CD3" s="93" t="s">
        <v>4559</v>
      </c>
      <c r="CE3" s="93" t="s">
        <v>4560</v>
      </c>
      <c r="CF3" s="102" t="s">
        <v>4847</v>
      </c>
      <c r="CG3" s="102" t="s">
        <v>4848</v>
      </c>
    </row>
    <row r="4" spans="1:94" x14ac:dyDescent="0.25">
      <c r="A4" s="3" t="s">
        <v>2719</v>
      </c>
      <c r="B4" s="3" t="s">
        <v>3238</v>
      </c>
      <c r="C4" s="3" t="s">
        <v>3239</v>
      </c>
      <c r="D4" s="12" t="s">
        <v>3240</v>
      </c>
      <c r="E4" t="s">
        <v>3239</v>
      </c>
      <c r="F4" s="12" t="s">
        <v>3240</v>
      </c>
      <c r="G4" s="12" t="s">
        <v>3241</v>
      </c>
      <c r="H4" s="12" t="s">
        <v>3242</v>
      </c>
      <c r="I4" t="s">
        <v>3239</v>
      </c>
      <c r="J4" t="s">
        <v>3240</v>
      </c>
      <c r="K4" t="s">
        <v>3239</v>
      </c>
      <c r="L4" s="12" t="s">
        <v>3240</v>
      </c>
      <c r="M4" t="s">
        <v>3239</v>
      </c>
      <c r="N4" s="12" t="s">
        <v>3240</v>
      </c>
      <c r="O4" t="s">
        <v>3239</v>
      </c>
      <c r="P4" s="12" t="s">
        <v>3240</v>
      </c>
      <c r="Q4" t="s">
        <v>3239</v>
      </c>
      <c r="R4" s="12" t="s">
        <v>3240</v>
      </c>
      <c r="S4" t="s">
        <v>3239</v>
      </c>
      <c r="T4" t="s">
        <v>3240</v>
      </c>
      <c r="U4" t="s">
        <v>3239</v>
      </c>
      <c r="V4" s="12" t="s">
        <v>3240</v>
      </c>
      <c r="W4" t="s">
        <v>900</v>
      </c>
      <c r="X4" t="s">
        <v>3239</v>
      </c>
      <c r="Y4" s="12" t="s">
        <v>3240</v>
      </c>
      <c r="Z4" s="3" t="s">
        <v>3239</v>
      </c>
      <c r="AA4" s="3" t="s">
        <v>3240</v>
      </c>
      <c r="AB4" s="3" t="s">
        <v>3239</v>
      </c>
      <c r="AC4" s="3" t="s">
        <v>3240</v>
      </c>
      <c r="AD4" s="3" t="s">
        <v>3239</v>
      </c>
      <c r="AE4" s="3" t="s">
        <v>3240</v>
      </c>
      <c r="AF4" t="s">
        <v>3239</v>
      </c>
      <c r="AG4" t="s">
        <v>3240</v>
      </c>
      <c r="AH4" t="s">
        <v>3239</v>
      </c>
      <c r="AI4" t="s">
        <v>3240</v>
      </c>
      <c r="AJ4" t="s">
        <v>3239</v>
      </c>
      <c r="AK4" t="s">
        <v>3240</v>
      </c>
      <c r="AL4" t="s">
        <v>3239</v>
      </c>
      <c r="AM4" s="12" t="s">
        <v>3240</v>
      </c>
      <c r="AN4" t="s">
        <v>3239</v>
      </c>
      <c r="AO4" t="s">
        <v>3240</v>
      </c>
      <c r="AP4" t="s">
        <v>3239</v>
      </c>
      <c r="AQ4" t="s">
        <v>3240</v>
      </c>
      <c r="AR4" t="s">
        <v>3239</v>
      </c>
      <c r="AS4" t="s">
        <v>3240</v>
      </c>
      <c r="AT4" t="s">
        <v>3239</v>
      </c>
      <c r="AU4" t="s">
        <v>3240</v>
      </c>
      <c r="AV4" s="74" t="s">
        <v>3239</v>
      </c>
      <c r="AW4" s="12" t="s">
        <v>3240</v>
      </c>
      <c r="AX4" t="s">
        <v>3239</v>
      </c>
      <c r="AY4" t="s">
        <v>3240</v>
      </c>
      <c r="AZ4" t="s">
        <v>3239</v>
      </c>
      <c r="BA4" t="s">
        <v>3240</v>
      </c>
      <c r="BB4" t="s">
        <v>3243</v>
      </c>
      <c r="BC4" t="s">
        <v>3244</v>
      </c>
      <c r="BD4" t="s">
        <v>3239</v>
      </c>
      <c r="BE4" t="s">
        <v>3240</v>
      </c>
      <c r="BF4" t="s">
        <v>3239</v>
      </c>
      <c r="BG4" t="s">
        <v>3240</v>
      </c>
      <c r="BH4" t="s">
        <v>3239</v>
      </c>
      <c r="BI4" t="s">
        <v>3240</v>
      </c>
      <c r="BJ4" t="s">
        <v>3239</v>
      </c>
      <c r="BK4" t="s">
        <v>3240</v>
      </c>
      <c r="BL4" t="s">
        <v>3239</v>
      </c>
      <c r="BM4" t="s">
        <v>3240</v>
      </c>
      <c r="BN4" t="s">
        <v>3239</v>
      </c>
      <c r="BO4" t="s">
        <v>3240</v>
      </c>
      <c r="BP4" t="s">
        <v>3239</v>
      </c>
      <c r="BQ4" t="s">
        <v>3240</v>
      </c>
      <c r="BR4" t="s">
        <v>1795</v>
      </c>
      <c r="BS4" t="s">
        <v>3245</v>
      </c>
      <c r="BT4" t="s">
        <v>3239</v>
      </c>
      <c r="BU4" t="s">
        <v>3240</v>
      </c>
      <c r="BV4" t="s">
        <v>3239</v>
      </c>
      <c r="BW4" t="s">
        <v>3240</v>
      </c>
      <c r="BX4" t="s">
        <v>3239</v>
      </c>
      <c r="BY4" t="s">
        <v>3240</v>
      </c>
      <c r="BZ4" t="s">
        <v>3239</v>
      </c>
      <c r="CA4" t="s">
        <v>3240</v>
      </c>
      <c r="CB4" t="s">
        <v>2882</v>
      </c>
      <c r="CC4" t="s">
        <v>3246</v>
      </c>
      <c r="CD4" t="s">
        <v>3239</v>
      </c>
      <c r="CE4" t="s">
        <v>3240</v>
      </c>
      <c r="CF4" t="s">
        <v>3239</v>
      </c>
      <c r="CG4" t="s">
        <v>3240</v>
      </c>
    </row>
    <row r="5" spans="1:94" x14ac:dyDescent="0.25">
      <c r="A5" s="3" t="s">
        <v>2717</v>
      </c>
      <c r="B5" s="3" t="s">
        <v>3247</v>
      </c>
      <c r="C5" s="3" t="s">
        <v>3248</v>
      </c>
      <c r="D5" s="12" t="s">
        <v>3249</v>
      </c>
      <c r="E5" t="s">
        <v>3248</v>
      </c>
      <c r="F5" s="12" t="s">
        <v>3249</v>
      </c>
      <c r="G5" s="12" t="s">
        <v>3250</v>
      </c>
      <c r="H5" s="12" t="s">
        <v>3251</v>
      </c>
      <c r="I5" t="s">
        <v>3248</v>
      </c>
      <c r="J5" t="s">
        <v>3249</v>
      </c>
      <c r="K5" t="s">
        <v>3248</v>
      </c>
      <c r="L5" s="12" t="s">
        <v>3249</v>
      </c>
      <c r="M5" t="s">
        <v>3248</v>
      </c>
      <c r="N5" s="12" t="s">
        <v>3249</v>
      </c>
      <c r="O5" t="s">
        <v>3248</v>
      </c>
      <c r="P5" s="12" t="s">
        <v>3249</v>
      </c>
      <c r="Q5" t="s">
        <v>3248</v>
      </c>
      <c r="R5" s="12" t="s">
        <v>3249</v>
      </c>
      <c r="S5" t="s">
        <v>3248</v>
      </c>
      <c r="T5" t="s">
        <v>3249</v>
      </c>
      <c r="U5" t="s">
        <v>3248</v>
      </c>
      <c r="V5" s="12" t="s">
        <v>3249</v>
      </c>
      <c r="W5" t="s">
        <v>910</v>
      </c>
      <c r="X5" t="s">
        <v>3248</v>
      </c>
      <c r="Y5" s="12" t="s">
        <v>3249</v>
      </c>
      <c r="Z5" s="3" t="s">
        <v>3252</v>
      </c>
      <c r="AA5" s="3" t="s">
        <v>3253</v>
      </c>
      <c r="AB5" s="3" t="s">
        <v>3252</v>
      </c>
      <c r="AC5" s="3" t="s">
        <v>3253</v>
      </c>
      <c r="AD5" s="3" t="s">
        <v>3252</v>
      </c>
      <c r="AE5" s="3" t="s">
        <v>3253</v>
      </c>
      <c r="AF5" t="s">
        <v>3248</v>
      </c>
      <c r="AG5" t="s">
        <v>3249</v>
      </c>
      <c r="AH5" t="s">
        <v>3248</v>
      </c>
      <c r="AI5" t="s">
        <v>3249</v>
      </c>
      <c r="AJ5" t="s">
        <v>3248</v>
      </c>
      <c r="AK5" t="s">
        <v>3249</v>
      </c>
      <c r="AL5" t="s">
        <v>3248</v>
      </c>
      <c r="AM5" s="12" t="s">
        <v>3249</v>
      </c>
      <c r="AN5" t="s">
        <v>3248</v>
      </c>
      <c r="AO5" t="s">
        <v>3249</v>
      </c>
      <c r="AP5" t="s">
        <v>3248</v>
      </c>
      <c r="AQ5" t="s">
        <v>3249</v>
      </c>
      <c r="AR5" t="s">
        <v>3248</v>
      </c>
      <c r="AS5" t="s">
        <v>3249</v>
      </c>
      <c r="AT5" t="s">
        <v>3248</v>
      </c>
      <c r="AU5" t="s">
        <v>3249</v>
      </c>
      <c r="AV5" s="74" t="s">
        <v>3248</v>
      </c>
      <c r="AW5" s="12" t="s">
        <v>3249</v>
      </c>
      <c r="AX5" t="s">
        <v>3248</v>
      </c>
      <c r="AY5" t="s">
        <v>3249</v>
      </c>
      <c r="AZ5" t="s">
        <v>3248</v>
      </c>
      <c r="BA5" t="s">
        <v>3249</v>
      </c>
      <c r="BB5" t="s">
        <v>3254</v>
      </c>
      <c r="BC5" t="s">
        <v>3255</v>
      </c>
      <c r="BD5" t="s">
        <v>3248</v>
      </c>
      <c r="BE5" t="s">
        <v>3249</v>
      </c>
      <c r="BF5" t="s">
        <v>3248</v>
      </c>
      <c r="BG5" t="s">
        <v>3249</v>
      </c>
      <c r="BH5" t="s">
        <v>3248</v>
      </c>
      <c r="BI5" t="s">
        <v>3249</v>
      </c>
      <c r="BJ5" t="s">
        <v>3248</v>
      </c>
      <c r="BK5" t="s">
        <v>3249</v>
      </c>
      <c r="BL5" t="s">
        <v>3248</v>
      </c>
      <c r="BM5" t="s">
        <v>3249</v>
      </c>
      <c r="BN5" t="s">
        <v>3248</v>
      </c>
      <c r="BO5" t="s">
        <v>3249</v>
      </c>
      <c r="BP5" t="s">
        <v>3248</v>
      </c>
      <c r="BQ5" t="s">
        <v>3249</v>
      </c>
      <c r="BR5" t="s">
        <v>3256</v>
      </c>
      <c r="BS5" t="s">
        <v>3257</v>
      </c>
      <c r="BT5" t="s">
        <v>3258</v>
      </c>
      <c r="BU5" t="s">
        <v>3259</v>
      </c>
      <c r="BV5" t="s">
        <v>3248</v>
      </c>
      <c r="BW5" t="s">
        <v>3249</v>
      </c>
      <c r="BX5" t="s">
        <v>3248</v>
      </c>
      <c r="BY5" t="s">
        <v>3249</v>
      </c>
      <c r="BZ5" t="s">
        <v>3248</v>
      </c>
      <c r="CA5" t="s">
        <v>3249</v>
      </c>
      <c r="CB5" t="s">
        <v>3260</v>
      </c>
      <c r="CC5" t="s">
        <v>3261</v>
      </c>
      <c r="CD5" t="s">
        <v>3248</v>
      </c>
      <c r="CE5" t="s">
        <v>3249</v>
      </c>
      <c r="CF5" t="s">
        <v>3248</v>
      </c>
      <c r="CG5" t="s">
        <v>3249</v>
      </c>
    </row>
    <row r="6" spans="1:94" x14ac:dyDescent="0.25">
      <c r="A6" s="3" t="s">
        <v>2721</v>
      </c>
      <c r="B6" s="3" t="s">
        <v>3262</v>
      </c>
      <c r="C6" s="3" t="s">
        <v>910</v>
      </c>
      <c r="D6" s="12" t="s">
        <v>3263</v>
      </c>
      <c r="E6" t="s">
        <v>910</v>
      </c>
      <c r="F6" s="12" t="s">
        <v>3263</v>
      </c>
      <c r="G6" s="12" t="s">
        <v>3264</v>
      </c>
      <c r="H6" s="12" t="s">
        <v>3265</v>
      </c>
      <c r="I6" t="s">
        <v>1103</v>
      </c>
      <c r="J6" t="s">
        <v>1103</v>
      </c>
      <c r="K6" t="s">
        <v>910</v>
      </c>
      <c r="L6" s="12" t="s">
        <v>3263</v>
      </c>
      <c r="M6" t="s">
        <v>910</v>
      </c>
      <c r="N6" s="12" t="s">
        <v>3263</v>
      </c>
      <c r="O6" t="s">
        <v>910</v>
      </c>
      <c r="P6" s="12" t="s">
        <v>3263</v>
      </c>
      <c r="Q6" t="s">
        <v>3266</v>
      </c>
      <c r="R6" t="s">
        <v>3267</v>
      </c>
      <c r="S6" t="s">
        <v>910</v>
      </c>
      <c r="T6" t="s">
        <v>3263</v>
      </c>
      <c r="U6" t="s">
        <v>910</v>
      </c>
      <c r="V6" t="s">
        <v>3263</v>
      </c>
      <c r="W6" t="s">
        <v>1065</v>
      </c>
      <c r="X6" s="12" t="s">
        <v>2369</v>
      </c>
      <c r="Y6" t="s">
        <v>3268</v>
      </c>
      <c r="Z6" s="3" t="s">
        <v>3269</v>
      </c>
      <c r="AA6" s="3" t="s">
        <v>3270</v>
      </c>
      <c r="AB6" s="3" t="s">
        <v>3269</v>
      </c>
      <c r="AC6" s="3" t="s">
        <v>3270</v>
      </c>
      <c r="AD6" s="3" t="s">
        <v>2763</v>
      </c>
      <c r="AE6" s="3" t="s">
        <v>3271</v>
      </c>
      <c r="AF6" t="s">
        <v>3252</v>
      </c>
      <c r="AG6" t="s">
        <v>3253</v>
      </c>
      <c r="AH6" t="s">
        <v>3252</v>
      </c>
      <c r="AI6" t="s">
        <v>3253</v>
      </c>
      <c r="AJ6" t="s">
        <v>3252</v>
      </c>
      <c r="AK6" t="s">
        <v>3253</v>
      </c>
      <c r="AL6" t="s">
        <v>3252</v>
      </c>
      <c r="AM6" t="s">
        <v>3253</v>
      </c>
      <c r="AN6" t="s">
        <v>910</v>
      </c>
      <c r="AO6" t="s">
        <v>3263</v>
      </c>
      <c r="AP6" t="s">
        <v>910</v>
      </c>
      <c r="AQ6" t="s">
        <v>3263</v>
      </c>
      <c r="AR6" t="s">
        <v>910</v>
      </c>
      <c r="AS6" t="s">
        <v>3263</v>
      </c>
      <c r="AT6" t="s">
        <v>3252</v>
      </c>
      <c r="AU6" t="s">
        <v>3253</v>
      </c>
      <c r="AV6" s="74" t="s">
        <v>910</v>
      </c>
      <c r="AW6" s="12" t="s">
        <v>3263</v>
      </c>
      <c r="AX6" t="s">
        <v>2582</v>
      </c>
      <c r="AY6" t="s">
        <v>3272</v>
      </c>
      <c r="AZ6" t="s">
        <v>3273</v>
      </c>
      <c r="BA6" t="s">
        <v>3274</v>
      </c>
      <c r="BB6" t="s">
        <v>3275</v>
      </c>
      <c r="BC6" t="s">
        <v>3276</v>
      </c>
      <c r="BD6" t="s">
        <v>1482</v>
      </c>
      <c r="BE6" t="s">
        <v>3277</v>
      </c>
      <c r="BF6" t="s">
        <v>1482</v>
      </c>
      <c r="BG6" t="s">
        <v>3277</v>
      </c>
      <c r="BH6" t="s">
        <v>3273</v>
      </c>
      <c r="BI6" t="s">
        <v>3274</v>
      </c>
      <c r="BJ6" t="s">
        <v>2582</v>
      </c>
      <c r="BK6" t="s">
        <v>3272</v>
      </c>
      <c r="BL6" t="s">
        <v>3278</v>
      </c>
      <c r="BM6" t="s">
        <v>3279</v>
      </c>
      <c r="BN6" t="s">
        <v>3280</v>
      </c>
      <c r="BO6" t="s">
        <v>3281</v>
      </c>
      <c r="BP6" t="s">
        <v>910</v>
      </c>
      <c r="BQ6" t="s">
        <v>3263</v>
      </c>
      <c r="BR6" t="s">
        <v>3282</v>
      </c>
      <c r="BS6" t="s">
        <v>3283</v>
      </c>
      <c r="BT6" t="s">
        <v>3284</v>
      </c>
      <c r="BU6" t="s">
        <v>3285</v>
      </c>
      <c r="BV6" t="s">
        <v>910</v>
      </c>
      <c r="BW6" t="s">
        <v>3263</v>
      </c>
      <c r="BX6" t="s">
        <v>910</v>
      </c>
      <c r="BY6" t="s">
        <v>3263</v>
      </c>
      <c r="BZ6" t="s">
        <v>910</v>
      </c>
      <c r="CA6" t="s">
        <v>3263</v>
      </c>
      <c r="CB6" t="s">
        <v>1947</v>
      </c>
      <c r="CC6" t="s">
        <v>3286</v>
      </c>
      <c r="CD6" t="s">
        <v>910</v>
      </c>
      <c r="CE6" t="s">
        <v>3263</v>
      </c>
      <c r="CF6" t="s">
        <v>910</v>
      </c>
      <c r="CG6" t="s">
        <v>3263</v>
      </c>
    </row>
    <row r="7" spans="1:94" x14ac:dyDescent="0.25">
      <c r="A7" s="3" t="s">
        <v>2727</v>
      </c>
      <c r="B7" s="3" t="s">
        <v>3287</v>
      </c>
      <c r="C7" s="3" t="s">
        <v>917</v>
      </c>
      <c r="D7" s="3" t="s">
        <v>3288</v>
      </c>
      <c r="E7" t="s">
        <v>1069</v>
      </c>
      <c r="F7" s="12" t="s">
        <v>3289</v>
      </c>
      <c r="G7" s="13" t="s">
        <v>3290</v>
      </c>
      <c r="H7" s="13" t="s">
        <v>3291</v>
      </c>
      <c r="I7" t="s">
        <v>1104</v>
      </c>
      <c r="J7" t="s">
        <v>1104</v>
      </c>
      <c r="K7" t="s">
        <v>1069</v>
      </c>
      <c r="L7" s="12" t="s">
        <v>3289</v>
      </c>
      <c r="M7" t="s">
        <v>1069</v>
      </c>
      <c r="N7" s="12" t="s">
        <v>3289</v>
      </c>
      <c r="O7" t="s">
        <v>1069</v>
      </c>
      <c r="P7" s="12" t="s">
        <v>3289</v>
      </c>
      <c r="Q7" t="s">
        <v>3292</v>
      </c>
      <c r="R7" t="s">
        <v>3293</v>
      </c>
      <c r="S7" t="s">
        <v>1068</v>
      </c>
      <c r="T7" t="s">
        <v>3289</v>
      </c>
      <c r="U7" t="s">
        <v>1069</v>
      </c>
      <c r="V7" t="s">
        <v>3289</v>
      </c>
      <c r="W7" t="s">
        <v>1069</v>
      </c>
      <c r="X7" t="s">
        <v>910</v>
      </c>
      <c r="Y7" t="s">
        <v>3294</v>
      </c>
      <c r="Z7" s="3" t="s">
        <v>2763</v>
      </c>
      <c r="AA7" s="3" t="s">
        <v>3271</v>
      </c>
      <c r="AB7" s="3" t="s">
        <v>2763</v>
      </c>
      <c r="AC7" s="3" t="s">
        <v>3271</v>
      </c>
      <c r="AD7" s="3" t="s">
        <v>2764</v>
      </c>
      <c r="AE7" s="3" t="s">
        <v>3295</v>
      </c>
      <c r="AF7" s="3" t="s">
        <v>3269</v>
      </c>
      <c r="AG7" s="3" t="s">
        <v>3270</v>
      </c>
      <c r="AH7" s="3" t="s">
        <v>3269</v>
      </c>
      <c r="AI7" s="3" t="s">
        <v>3270</v>
      </c>
      <c r="AJ7" t="s">
        <v>2022</v>
      </c>
      <c r="AK7" t="s">
        <v>3296</v>
      </c>
      <c r="AL7" t="s">
        <v>1983</v>
      </c>
      <c r="AM7" t="s">
        <v>3297</v>
      </c>
      <c r="AN7" t="s">
        <v>1068</v>
      </c>
      <c r="AO7" t="s">
        <v>3289</v>
      </c>
      <c r="AP7" t="s">
        <v>1068</v>
      </c>
      <c r="AQ7" t="s">
        <v>3289</v>
      </c>
      <c r="AR7" t="s">
        <v>1068</v>
      </c>
      <c r="AS7" t="s">
        <v>3289</v>
      </c>
      <c r="AT7" t="s">
        <v>3298</v>
      </c>
      <c r="AU7" t="s">
        <v>3299</v>
      </c>
      <c r="AV7" s="74" t="s">
        <v>1068</v>
      </c>
      <c r="AW7" s="12" t="s">
        <v>3289</v>
      </c>
      <c r="AX7" t="s">
        <v>3273</v>
      </c>
      <c r="AY7" t="s">
        <v>3274</v>
      </c>
      <c r="AZ7" t="s">
        <v>2429</v>
      </c>
      <c r="BA7" t="s">
        <v>3300</v>
      </c>
      <c r="BB7" t="s">
        <v>3301</v>
      </c>
      <c r="BC7" t="s">
        <v>3302</v>
      </c>
      <c r="BD7" t="s">
        <v>3252</v>
      </c>
      <c r="BE7" t="s">
        <v>3253</v>
      </c>
      <c r="BF7" t="s">
        <v>3252</v>
      </c>
      <c r="BG7" t="s">
        <v>3253</v>
      </c>
      <c r="BH7" t="s">
        <v>2582</v>
      </c>
      <c r="BI7" t="s">
        <v>3272</v>
      </c>
      <c r="BJ7" t="s">
        <v>3273</v>
      </c>
      <c r="BK7" t="s">
        <v>3274</v>
      </c>
      <c r="BL7" t="s">
        <v>3303</v>
      </c>
      <c r="BM7" t="s">
        <v>3304</v>
      </c>
      <c r="BN7" t="s">
        <v>3305</v>
      </c>
      <c r="BO7" t="s">
        <v>3306</v>
      </c>
      <c r="BP7" t="s">
        <v>1068</v>
      </c>
      <c r="BQ7" t="s">
        <v>3289</v>
      </c>
      <c r="BR7" t="s">
        <v>3307</v>
      </c>
      <c r="BS7" t="s">
        <v>3308</v>
      </c>
      <c r="BT7" t="s">
        <v>3309</v>
      </c>
      <c r="BU7" t="s">
        <v>3310</v>
      </c>
      <c r="BV7" t="s">
        <v>1069</v>
      </c>
      <c r="BW7" t="s">
        <v>3289</v>
      </c>
      <c r="BX7" t="s">
        <v>1069</v>
      </c>
      <c r="BY7" t="s">
        <v>3289</v>
      </c>
      <c r="BZ7" t="s">
        <v>1068</v>
      </c>
      <c r="CA7" t="s">
        <v>3289</v>
      </c>
      <c r="CB7" t="s">
        <v>2950</v>
      </c>
      <c r="CC7" t="s">
        <v>3311</v>
      </c>
      <c r="CD7" t="s">
        <v>1069</v>
      </c>
      <c r="CE7" t="s">
        <v>3289</v>
      </c>
      <c r="CF7" t="s">
        <v>3318</v>
      </c>
      <c r="CG7" t="s">
        <v>4919</v>
      </c>
    </row>
    <row r="8" spans="1:94" x14ac:dyDescent="0.25">
      <c r="A8" s="3" t="s">
        <v>3239</v>
      </c>
      <c r="B8" s="12" t="s">
        <v>3240</v>
      </c>
      <c r="C8" s="3" t="s">
        <v>1069</v>
      </c>
      <c r="D8" s="12" t="s">
        <v>3289</v>
      </c>
      <c r="E8" t="s">
        <v>3312</v>
      </c>
      <c r="F8" t="s">
        <v>3295</v>
      </c>
      <c r="I8" t="s">
        <v>1105</v>
      </c>
      <c r="J8" t="s">
        <v>1105</v>
      </c>
      <c r="K8" t="s">
        <v>1003</v>
      </c>
      <c r="L8" s="74" t="s">
        <v>1003</v>
      </c>
      <c r="M8" t="s">
        <v>1100</v>
      </c>
      <c r="N8" s="74" t="s">
        <v>3313</v>
      </c>
      <c r="O8" t="s">
        <v>3314</v>
      </c>
      <c r="P8" t="s">
        <v>3315</v>
      </c>
      <c r="Q8" t="s">
        <v>3316</v>
      </c>
      <c r="R8" t="s">
        <v>3317</v>
      </c>
      <c r="S8" t="s">
        <v>3318</v>
      </c>
      <c r="T8" t="s">
        <v>3319</v>
      </c>
      <c r="U8" s="3" t="s">
        <v>3320</v>
      </c>
      <c r="V8" s="3" t="s">
        <v>3321</v>
      </c>
      <c r="W8" t="s">
        <v>916</v>
      </c>
      <c r="X8" t="s">
        <v>1069</v>
      </c>
      <c r="Y8" t="s">
        <v>3322</v>
      </c>
      <c r="Z8" s="3" t="s">
        <v>2764</v>
      </c>
      <c r="AA8" s="3" t="s">
        <v>3295</v>
      </c>
      <c r="AB8" s="3" t="s">
        <v>2764</v>
      </c>
      <c r="AC8" s="3" t="s">
        <v>3295</v>
      </c>
      <c r="AD8" s="3" t="s">
        <v>2766</v>
      </c>
      <c r="AE8" s="3" t="s">
        <v>3323</v>
      </c>
      <c r="AF8" t="s">
        <v>2232</v>
      </c>
      <c r="AG8" t="s">
        <v>3324</v>
      </c>
      <c r="AH8" t="s">
        <v>2232</v>
      </c>
      <c r="AI8" t="s">
        <v>3324</v>
      </c>
      <c r="AJ8" t="s">
        <v>1949</v>
      </c>
      <c r="AK8" t="s">
        <v>3325</v>
      </c>
      <c r="AL8" t="s">
        <v>1482</v>
      </c>
      <c r="AM8" t="s">
        <v>3277</v>
      </c>
      <c r="AN8" t="s">
        <v>1180</v>
      </c>
      <c r="AO8" t="s">
        <v>3326</v>
      </c>
      <c r="AP8" t="s">
        <v>1180</v>
      </c>
      <c r="AQ8" t="s">
        <v>3326</v>
      </c>
      <c r="AR8" t="s">
        <v>1180</v>
      </c>
      <c r="AS8" t="s">
        <v>3326</v>
      </c>
      <c r="AT8" s="3" t="s">
        <v>3327</v>
      </c>
      <c r="AU8" s="3" t="s">
        <v>3328</v>
      </c>
      <c r="AV8" s="74" t="s">
        <v>3329</v>
      </c>
      <c r="AW8" s="74" t="s">
        <v>3330</v>
      </c>
      <c r="AX8" t="s">
        <v>2424</v>
      </c>
      <c r="AY8" t="s">
        <v>3331</v>
      </c>
      <c r="AZ8" t="s">
        <v>3332</v>
      </c>
      <c r="BA8" t="s">
        <v>3333</v>
      </c>
      <c r="BB8" t="s">
        <v>3334</v>
      </c>
      <c r="BC8" t="s">
        <v>3335</v>
      </c>
      <c r="BD8" t="s">
        <v>3269</v>
      </c>
      <c r="BE8" s="3" t="s">
        <v>3270</v>
      </c>
      <c r="BF8" t="s">
        <v>2232</v>
      </c>
      <c r="BG8" t="s">
        <v>3324</v>
      </c>
      <c r="BH8" t="s">
        <v>2429</v>
      </c>
      <c r="BI8" t="s">
        <v>3300</v>
      </c>
      <c r="BJ8" t="s">
        <v>2424</v>
      </c>
      <c r="BK8" t="s">
        <v>3331</v>
      </c>
      <c r="BL8" t="s">
        <v>2608</v>
      </c>
      <c r="BM8" t="s">
        <v>3336</v>
      </c>
      <c r="BN8" t="s">
        <v>3337</v>
      </c>
      <c r="BO8" t="s">
        <v>3338</v>
      </c>
      <c r="BP8" t="s">
        <v>2501</v>
      </c>
      <c r="BQ8" t="s">
        <v>3339</v>
      </c>
      <c r="BR8" t="s">
        <v>3340</v>
      </c>
      <c r="BS8" s="75" t="s">
        <v>3341</v>
      </c>
      <c r="BT8" t="s">
        <v>3252</v>
      </c>
      <c r="BU8" t="s">
        <v>3253</v>
      </c>
      <c r="BV8" t="s">
        <v>1068</v>
      </c>
      <c r="BW8" t="s">
        <v>3289</v>
      </c>
      <c r="BX8" s="3" t="s">
        <v>3320</v>
      </c>
      <c r="BY8" s="3" t="s">
        <v>3321</v>
      </c>
      <c r="BZ8" t="s">
        <v>908</v>
      </c>
      <c r="CA8" t="s">
        <v>3342</v>
      </c>
      <c r="CB8" t="s">
        <v>2930</v>
      </c>
      <c r="CC8" t="s">
        <v>3343</v>
      </c>
      <c r="CD8" t="s">
        <v>1068</v>
      </c>
      <c r="CE8" t="s">
        <v>3289</v>
      </c>
      <c r="CF8" t="s">
        <v>3350</v>
      </c>
      <c r="CG8" t="s">
        <v>4849</v>
      </c>
    </row>
    <row r="9" spans="1:94" x14ac:dyDescent="0.25">
      <c r="A9" s="3" t="s">
        <v>3248</v>
      </c>
      <c r="B9" s="12" t="s">
        <v>3249</v>
      </c>
      <c r="C9" s="3" t="s">
        <v>909</v>
      </c>
      <c r="D9" s="3" t="s">
        <v>3323</v>
      </c>
      <c r="E9" t="s">
        <v>1159</v>
      </c>
      <c r="F9" t="s">
        <v>3344</v>
      </c>
      <c r="I9" t="s">
        <v>1106</v>
      </c>
      <c r="J9" t="s">
        <v>1106</v>
      </c>
      <c r="K9" t="s">
        <v>1093</v>
      </c>
      <c r="L9" s="74" t="s">
        <v>3345</v>
      </c>
      <c r="M9" t="s">
        <v>951</v>
      </c>
      <c r="N9" s="74" t="s">
        <v>3346</v>
      </c>
      <c r="O9" t="s">
        <v>1010</v>
      </c>
      <c r="P9" t="s">
        <v>3347</v>
      </c>
      <c r="Q9" t="s">
        <v>3348</v>
      </c>
      <c r="R9" s="74" t="s">
        <v>3349</v>
      </c>
      <c r="S9" t="s">
        <v>3350</v>
      </c>
      <c r="T9" t="s">
        <v>3350</v>
      </c>
      <c r="U9" t="s">
        <v>1180</v>
      </c>
      <c r="V9" t="s">
        <v>3326</v>
      </c>
      <c r="W9" t="s">
        <v>1074</v>
      </c>
      <c r="X9" s="3" t="s">
        <v>3320</v>
      </c>
      <c r="Y9" s="3" t="s">
        <v>3321</v>
      </c>
      <c r="Z9" s="3" t="s">
        <v>2766</v>
      </c>
      <c r="AA9" s="3" t="s">
        <v>3323</v>
      </c>
      <c r="AB9" s="3" t="s">
        <v>2766</v>
      </c>
      <c r="AC9" s="3" t="s">
        <v>3323</v>
      </c>
      <c r="AD9" s="3" t="s">
        <v>2769</v>
      </c>
      <c r="AE9" s="3" t="s">
        <v>3351</v>
      </c>
      <c r="AF9" s="3" t="s">
        <v>2932</v>
      </c>
      <c r="AG9" s="3" t="s">
        <v>3352</v>
      </c>
      <c r="AH9" t="s">
        <v>2022</v>
      </c>
      <c r="AI9" t="s">
        <v>3296</v>
      </c>
      <c r="AJ9" t="s">
        <v>1482</v>
      </c>
      <c r="AK9" t="s">
        <v>3277</v>
      </c>
      <c r="AL9" t="s">
        <v>1963</v>
      </c>
      <c r="AM9" t="s">
        <v>3271</v>
      </c>
      <c r="AN9" t="s">
        <v>1027</v>
      </c>
      <c r="AO9" t="s">
        <v>3353</v>
      </c>
      <c r="AP9" t="s">
        <v>1027</v>
      </c>
      <c r="AQ9" t="s">
        <v>3353</v>
      </c>
      <c r="AR9" t="s">
        <v>1027</v>
      </c>
      <c r="AS9" t="s">
        <v>3353</v>
      </c>
      <c r="AT9" t="s">
        <v>2232</v>
      </c>
      <c r="AU9" t="s">
        <v>3324</v>
      </c>
      <c r="AV9" t="s">
        <v>1180</v>
      </c>
      <c r="AW9" t="s">
        <v>3326</v>
      </c>
      <c r="AX9" t="s">
        <v>3354</v>
      </c>
      <c r="AY9" t="s">
        <v>3355</v>
      </c>
      <c r="AZ9" t="s">
        <v>2605</v>
      </c>
      <c r="BA9" t="s">
        <v>3356</v>
      </c>
      <c r="BB9" t="s">
        <v>3357</v>
      </c>
      <c r="BC9" t="s">
        <v>3358</v>
      </c>
      <c r="BD9" t="s">
        <v>2602</v>
      </c>
      <c r="BE9" t="s">
        <v>3300</v>
      </c>
      <c r="BF9" t="s">
        <v>910</v>
      </c>
      <c r="BG9" t="s">
        <v>3263</v>
      </c>
      <c r="BH9" t="s">
        <v>2605</v>
      </c>
      <c r="BI9" t="s">
        <v>3356</v>
      </c>
      <c r="BJ9" t="s">
        <v>3359</v>
      </c>
      <c r="BK9" t="s">
        <v>3360</v>
      </c>
      <c r="BL9" t="s">
        <v>2191</v>
      </c>
      <c r="BM9" t="s">
        <v>3361</v>
      </c>
      <c r="BN9" t="s">
        <v>3362</v>
      </c>
      <c r="BO9" t="s">
        <v>3363</v>
      </c>
      <c r="BP9" t="s">
        <v>2010</v>
      </c>
      <c r="BQ9" t="s">
        <v>3364</v>
      </c>
      <c r="BR9" t="s">
        <v>3365</v>
      </c>
      <c r="BS9" t="s">
        <v>3366</v>
      </c>
      <c r="BT9" t="s">
        <v>3298</v>
      </c>
      <c r="BU9" t="s">
        <v>3299</v>
      </c>
      <c r="BV9" t="s">
        <v>3367</v>
      </c>
      <c r="BW9" t="s">
        <v>3368</v>
      </c>
      <c r="BX9" t="s">
        <v>3369</v>
      </c>
      <c r="BY9" t="s">
        <v>3370</v>
      </c>
      <c r="BZ9" t="s">
        <v>1284</v>
      </c>
      <c r="CA9" t="s">
        <v>3371</v>
      </c>
      <c r="CB9" t="s">
        <v>3372</v>
      </c>
      <c r="CC9" t="s">
        <v>3373</v>
      </c>
      <c r="CD9" t="s">
        <v>3628</v>
      </c>
      <c r="CE9" t="s">
        <v>3629</v>
      </c>
      <c r="CF9" t="s">
        <v>4834</v>
      </c>
      <c r="CG9" t="s">
        <v>4918</v>
      </c>
    </row>
    <row r="10" spans="1:94" x14ac:dyDescent="0.25">
      <c r="A10" s="3" t="s">
        <v>2734</v>
      </c>
      <c r="B10" s="3" t="s">
        <v>3374</v>
      </c>
      <c r="C10" s="3" t="s">
        <v>4999</v>
      </c>
      <c r="D10" s="3" t="s">
        <v>5000</v>
      </c>
      <c r="E10" t="s">
        <v>1076</v>
      </c>
      <c r="F10" t="s">
        <v>1075</v>
      </c>
      <c r="I10" t="s">
        <v>1107</v>
      </c>
      <c r="J10" t="s">
        <v>1107</v>
      </c>
      <c r="K10" t="s">
        <v>938</v>
      </c>
      <c r="L10" s="74" t="s">
        <v>3376</v>
      </c>
      <c r="M10" t="s">
        <v>1102</v>
      </c>
      <c r="N10" s="74" t="s">
        <v>3377</v>
      </c>
      <c r="O10" t="s">
        <v>3378</v>
      </c>
      <c r="P10" s="74" t="s">
        <v>3379</v>
      </c>
      <c r="Q10" t="s">
        <v>3380</v>
      </c>
      <c r="R10" s="74" t="s">
        <v>3381</v>
      </c>
      <c r="S10" t="s">
        <v>3382</v>
      </c>
      <c r="T10" s="74" t="s">
        <v>3383</v>
      </c>
      <c r="U10" t="s">
        <v>1027</v>
      </c>
      <c r="V10" t="s">
        <v>3353</v>
      </c>
      <c r="W10" t="s">
        <v>2441</v>
      </c>
      <c r="X10" t="s">
        <v>1180</v>
      </c>
      <c r="Y10" t="s">
        <v>3384</v>
      </c>
      <c r="Z10" s="3" t="s">
        <v>2769</v>
      </c>
      <c r="AA10" s="3" t="s">
        <v>3351</v>
      </c>
      <c r="AB10" s="3" t="s">
        <v>2769</v>
      </c>
      <c r="AC10" s="3" t="s">
        <v>3351</v>
      </c>
      <c r="AD10" s="3" t="s">
        <v>1983</v>
      </c>
      <c r="AE10" s="3" t="s">
        <v>3297</v>
      </c>
      <c r="AF10" s="3" t="s">
        <v>2935</v>
      </c>
      <c r="AG10" s="3" t="s">
        <v>3385</v>
      </c>
      <c r="AH10" t="s">
        <v>1949</v>
      </c>
      <c r="AI10" t="s">
        <v>3325</v>
      </c>
      <c r="AJ10" t="s">
        <v>2602</v>
      </c>
      <c r="AK10" t="s">
        <v>3300</v>
      </c>
      <c r="AL10" t="s">
        <v>1969</v>
      </c>
      <c r="AM10" t="s">
        <v>3295</v>
      </c>
      <c r="AN10" t="s">
        <v>1185</v>
      </c>
      <c r="AO10" t="s">
        <v>3386</v>
      </c>
      <c r="AP10" t="s">
        <v>1185</v>
      </c>
      <c r="AQ10" t="s">
        <v>3386</v>
      </c>
      <c r="AR10" t="s">
        <v>1185</v>
      </c>
      <c r="AS10" t="s">
        <v>3386</v>
      </c>
      <c r="AT10" t="s">
        <v>2022</v>
      </c>
      <c r="AU10" t="s">
        <v>3296</v>
      </c>
      <c r="AV10" t="s">
        <v>1027</v>
      </c>
      <c r="AW10" t="s">
        <v>3353</v>
      </c>
      <c r="AX10" t="s">
        <v>2429</v>
      </c>
      <c r="AY10" t="s">
        <v>3300</v>
      </c>
      <c r="AZ10" t="s">
        <v>3387</v>
      </c>
      <c r="BA10" t="s">
        <v>3388</v>
      </c>
      <c r="BB10" t="s">
        <v>3389</v>
      </c>
      <c r="BC10" t="s">
        <v>3390</v>
      </c>
      <c r="BD10" t="s">
        <v>2232</v>
      </c>
      <c r="BE10" t="s">
        <v>3324</v>
      </c>
      <c r="BF10" t="s">
        <v>1068</v>
      </c>
      <c r="BG10" t="s">
        <v>3289</v>
      </c>
      <c r="BH10" t="s">
        <v>3391</v>
      </c>
      <c r="BI10" t="s">
        <v>3392</v>
      </c>
      <c r="BJ10" t="s">
        <v>3389</v>
      </c>
      <c r="BK10" t="s">
        <v>3393</v>
      </c>
      <c r="BL10" t="s">
        <v>3389</v>
      </c>
      <c r="BM10" t="s">
        <v>3394</v>
      </c>
      <c r="BN10" t="s">
        <v>3395</v>
      </c>
      <c r="BO10" t="s">
        <v>3396</v>
      </c>
      <c r="BP10" t="s">
        <v>2504</v>
      </c>
      <c r="BQ10" t="s">
        <v>3397</v>
      </c>
      <c r="BR10" t="s">
        <v>3398</v>
      </c>
      <c r="BS10" t="s">
        <v>3399</v>
      </c>
      <c r="BT10" t="s">
        <v>3400</v>
      </c>
      <c r="BU10" t="s">
        <v>3401</v>
      </c>
      <c r="BV10" s="3" t="s">
        <v>3320</v>
      </c>
      <c r="BW10" s="3" t="s">
        <v>3321</v>
      </c>
      <c r="BX10" t="s">
        <v>3402</v>
      </c>
      <c r="BY10" t="s">
        <v>3403</v>
      </c>
      <c r="BZ10" t="s">
        <v>1287</v>
      </c>
      <c r="CA10" t="s">
        <v>3404</v>
      </c>
      <c r="CB10" t="s">
        <v>3239</v>
      </c>
      <c r="CC10" t="s">
        <v>3240</v>
      </c>
      <c r="CD10" t="s">
        <v>3382</v>
      </c>
      <c r="CE10" s="74" t="s">
        <v>3383</v>
      </c>
      <c r="CF10" t="s">
        <v>4835</v>
      </c>
      <c r="CG10" t="s">
        <v>4850</v>
      </c>
    </row>
    <row r="11" spans="1:94" x14ac:dyDescent="0.25">
      <c r="A11" s="3" t="s">
        <v>2736</v>
      </c>
      <c r="B11" t="s">
        <v>3405</v>
      </c>
      <c r="C11" s="3" t="s">
        <v>5118</v>
      </c>
      <c r="D11" s="3" t="s">
        <v>5119</v>
      </c>
      <c r="E11" t="s">
        <v>2529</v>
      </c>
      <c r="F11" t="s">
        <v>3407</v>
      </c>
      <c r="I11" t="s">
        <v>1108</v>
      </c>
      <c r="J11" t="s">
        <v>1108</v>
      </c>
      <c r="K11" t="s">
        <v>3408</v>
      </c>
      <c r="L11" s="74" t="s">
        <v>3409</v>
      </c>
      <c r="M11" t="s">
        <v>1215</v>
      </c>
      <c r="N11" s="74" t="s">
        <v>3410</v>
      </c>
      <c r="O11" t="s">
        <v>3411</v>
      </c>
      <c r="P11" s="74" t="s">
        <v>3412</v>
      </c>
      <c r="Q11" t="s">
        <v>3413</v>
      </c>
      <c r="R11" s="76" t="s">
        <v>3414</v>
      </c>
      <c r="S11" s="74" t="s">
        <v>3415</v>
      </c>
      <c r="T11" s="74" t="s">
        <v>3416</v>
      </c>
      <c r="U11" t="s">
        <v>1185</v>
      </c>
      <c r="V11" t="s">
        <v>3386</v>
      </c>
      <c r="W11" t="s">
        <v>2271</v>
      </c>
      <c r="X11" t="s">
        <v>1027</v>
      </c>
      <c r="Y11" t="s">
        <v>3417</v>
      </c>
      <c r="Z11" s="3" t="s">
        <v>58</v>
      </c>
      <c r="AA11" s="3" t="s">
        <v>3418</v>
      </c>
      <c r="AB11" s="3" t="s">
        <v>58</v>
      </c>
      <c r="AC11" s="3" t="s">
        <v>3418</v>
      </c>
      <c r="AD11" s="3" t="s">
        <v>3284</v>
      </c>
      <c r="AE11" s="3" t="s">
        <v>3285</v>
      </c>
      <c r="AF11" t="s">
        <v>2022</v>
      </c>
      <c r="AG11" t="s">
        <v>3296</v>
      </c>
      <c r="AH11" t="s">
        <v>1482</v>
      </c>
      <c r="AI11" t="s">
        <v>3277</v>
      </c>
      <c r="AJ11" t="s">
        <v>910</v>
      </c>
      <c r="AK11" t="s">
        <v>3263</v>
      </c>
      <c r="AL11" t="s">
        <v>1971</v>
      </c>
      <c r="AM11" t="s">
        <v>3419</v>
      </c>
      <c r="AN11" t="s">
        <v>1476</v>
      </c>
      <c r="AO11" t="s">
        <v>3420</v>
      </c>
      <c r="AP11" t="s">
        <v>1476</v>
      </c>
      <c r="AQ11" t="s">
        <v>3420</v>
      </c>
      <c r="AR11" t="s">
        <v>1476</v>
      </c>
      <c r="AS11" t="s">
        <v>3420</v>
      </c>
      <c r="AT11" t="s">
        <v>1949</v>
      </c>
      <c r="AU11" t="s">
        <v>3325</v>
      </c>
      <c r="AV11" t="s">
        <v>1185</v>
      </c>
      <c r="AW11" t="s">
        <v>3386</v>
      </c>
      <c r="AX11" t="s">
        <v>2605</v>
      </c>
      <c r="AY11" t="s">
        <v>3356</v>
      </c>
      <c r="AZ11" t="s">
        <v>3421</v>
      </c>
      <c r="BA11" t="s">
        <v>3422</v>
      </c>
      <c r="BB11" t="s">
        <v>3359</v>
      </c>
      <c r="BC11" t="s">
        <v>3423</v>
      </c>
      <c r="BD11" t="s">
        <v>910</v>
      </c>
      <c r="BE11" t="s">
        <v>3263</v>
      </c>
      <c r="BF11" t="s">
        <v>1180</v>
      </c>
      <c r="BG11" t="s">
        <v>3326</v>
      </c>
      <c r="BH11" t="s">
        <v>3424</v>
      </c>
      <c r="BI11" t="s">
        <v>3425</v>
      </c>
      <c r="BJ11" t="s">
        <v>3426</v>
      </c>
      <c r="BK11" t="s">
        <v>3427</v>
      </c>
      <c r="BL11" t="s">
        <v>3428</v>
      </c>
      <c r="BM11" t="s">
        <v>3429</v>
      </c>
      <c r="BN11" t="s">
        <v>3389</v>
      </c>
      <c r="BO11" t="s">
        <v>3430</v>
      </c>
      <c r="BP11" t="s">
        <v>2510</v>
      </c>
      <c r="BQ11" t="s">
        <v>3431</v>
      </c>
      <c r="BT11" t="s">
        <v>3432</v>
      </c>
      <c r="BU11" t="s">
        <v>3330</v>
      </c>
      <c r="BV11" s="3" t="s">
        <v>3327</v>
      </c>
      <c r="BW11" s="3" t="s">
        <v>3433</v>
      </c>
      <c r="BX11" t="s">
        <v>3434</v>
      </c>
      <c r="BY11" t="s">
        <v>3435</v>
      </c>
      <c r="BZ11" t="s">
        <v>1293</v>
      </c>
      <c r="CA11" t="s">
        <v>3436</v>
      </c>
      <c r="CB11" t="s">
        <v>3248</v>
      </c>
      <c r="CC11" t="s">
        <v>3249</v>
      </c>
      <c r="CD11" t="s">
        <v>3415</v>
      </c>
      <c r="CE11" s="74" t="s">
        <v>3416</v>
      </c>
      <c r="CF11" t="s">
        <v>4836</v>
      </c>
      <c r="CG11" t="s">
        <v>4851</v>
      </c>
    </row>
    <row r="12" spans="1:94" x14ac:dyDescent="0.25">
      <c r="A12" s="3" t="s">
        <v>2738</v>
      </c>
      <c r="B12" s="3" t="s">
        <v>3253</v>
      </c>
      <c r="C12" s="3" t="s">
        <v>1074</v>
      </c>
      <c r="D12" s="3" t="s">
        <v>3375</v>
      </c>
      <c r="E12" s="3" t="s">
        <v>3320</v>
      </c>
      <c r="F12" s="3" t="s">
        <v>3321</v>
      </c>
      <c r="I12" t="s">
        <v>1109</v>
      </c>
      <c r="J12" t="s">
        <v>1109</v>
      </c>
      <c r="K12" t="s">
        <v>935</v>
      </c>
      <c r="L12" s="74" t="s">
        <v>3438</v>
      </c>
      <c r="M12" t="s">
        <v>1219</v>
      </c>
      <c r="N12" t="s">
        <v>1218</v>
      </c>
      <c r="O12" t="s">
        <v>4364</v>
      </c>
      <c r="P12" t="s">
        <v>4365</v>
      </c>
      <c r="Q12" t="s">
        <v>3439</v>
      </c>
      <c r="R12" s="76" t="s">
        <v>3440</v>
      </c>
      <c r="S12" s="74" t="s">
        <v>4924</v>
      </c>
      <c r="T12" t="s">
        <v>4925</v>
      </c>
      <c r="U12" t="s">
        <v>2343</v>
      </c>
      <c r="V12" t="s">
        <v>3442</v>
      </c>
      <c r="W12" t="s">
        <v>3443</v>
      </c>
      <c r="X12" t="s">
        <v>1185</v>
      </c>
      <c r="Y12" t="s">
        <v>3444</v>
      </c>
      <c r="Z12" s="3" t="s">
        <v>3445</v>
      </c>
      <c r="AA12" s="3" t="s">
        <v>3446</v>
      </c>
      <c r="AB12" s="3" t="s">
        <v>3445</v>
      </c>
      <c r="AC12" s="3" t="s">
        <v>3446</v>
      </c>
      <c r="AD12" s="3" t="s">
        <v>58</v>
      </c>
      <c r="AE12" s="3" t="s">
        <v>3418</v>
      </c>
      <c r="AF12" t="s">
        <v>1949</v>
      </c>
      <c r="AG12" t="s">
        <v>3325</v>
      </c>
      <c r="AH12" t="s">
        <v>2602</v>
      </c>
      <c r="AI12" t="s">
        <v>3300</v>
      </c>
      <c r="AJ12" t="s">
        <v>1081</v>
      </c>
      <c r="AK12" s="3" t="s">
        <v>3447</v>
      </c>
      <c r="AL12" t="s">
        <v>1981</v>
      </c>
      <c r="AM12" t="s">
        <v>3446</v>
      </c>
      <c r="AN12" t="s">
        <v>3252</v>
      </c>
      <c r="AO12" t="s">
        <v>3253</v>
      </c>
      <c r="AP12" t="s">
        <v>3448</v>
      </c>
      <c r="AQ12" t="s">
        <v>3449</v>
      </c>
      <c r="AR12" t="s">
        <v>3252</v>
      </c>
      <c r="AS12" t="s">
        <v>3253</v>
      </c>
      <c r="AT12" t="s">
        <v>1482</v>
      </c>
      <c r="AU12" t="s">
        <v>3277</v>
      </c>
      <c r="AV12" t="s">
        <v>1476</v>
      </c>
      <c r="AW12" t="s">
        <v>3420</v>
      </c>
      <c r="AX12" t="s">
        <v>2599</v>
      </c>
      <c r="AY12" t="s">
        <v>3450</v>
      </c>
      <c r="AZ12" t="s">
        <v>3424</v>
      </c>
      <c r="BA12" t="s">
        <v>3425</v>
      </c>
      <c r="BB12" t="s">
        <v>3426</v>
      </c>
      <c r="BC12" t="s">
        <v>3451</v>
      </c>
      <c r="BD12" t="s">
        <v>1068</v>
      </c>
      <c r="BE12" t="s">
        <v>3289</v>
      </c>
      <c r="BF12" t="s">
        <v>1027</v>
      </c>
      <c r="BG12" t="s">
        <v>3353</v>
      </c>
      <c r="BH12" t="s">
        <v>3452</v>
      </c>
      <c r="BI12" t="s">
        <v>3453</v>
      </c>
      <c r="BJ12" t="s">
        <v>3428</v>
      </c>
      <c r="BK12" t="s">
        <v>3454</v>
      </c>
      <c r="BL12" t="s">
        <v>3359</v>
      </c>
      <c r="BM12" t="s">
        <v>3455</v>
      </c>
      <c r="BN12" t="s">
        <v>3428</v>
      </c>
      <c r="BO12" t="s">
        <v>3456</v>
      </c>
      <c r="BP12" t="s">
        <v>2508</v>
      </c>
      <c r="BQ12" t="s">
        <v>3457</v>
      </c>
      <c r="BT12" t="s">
        <v>3458</v>
      </c>
      <c r="BU12" t="s">
        <v>3458</v>
      </c>
      <c r="BV12" t="s">
        <v>3252</v>
      </c>
      <c r="BW12" t="s">
        <v>3459</v>
      </c>
      <c r="BX12" t="s">
        <v>3460</v>
      </c>
      <c r="BY12" t="s">
        <v>3461</v>
      </c>
      <c r="BZ12" t="s">
        <v>2963</v>
      </c>
      <c r="CA12" t="s">
        <v>3462</v>
      </c>
      <c r="CB12" t="s">
        <v>3463</v>
      </c>
      <c r="CC12" t="s">
        <v>3464</v>
      </c>
      <c r="CD12" t="s">
        <v>4561</v>
      </c>
      <c r="CE12" t="s">
        <v>4575</v>
      </c>
      <c r="CF12" t="s">
        <v>4837</v>
      </c>
      <c r="CG12" t="s">
        <v>4856</v>
      </c>
    </row>
    <row r="13" spans="1:94" ht="30" x14ac:dyDescent="0.25">
      <c r="A13" s="3" t="s">
        <v>2740</v>
      </c>
      <c r="B13" s="3" t="s">
        <v>3465</v>
      </c>
      <c r="C13" s="3" t="s">
        <v>50</v>
      </c>
      <c r="D13" s="3" t="s">
        <v>3406</v>
      </c>
      <c r="E13" t="s">
        <v>1080</v>
      </c>
      <c r="F13" t="s">
        <v>3467</v>
      </c>
      <c r="I13" t="s">
        <v>1110</v>
      </c>
      <c r="J13" t="s">
        <v>1110</v>
      </c>
      <c r="K13" t="s">
        <v>926</v>
      </c>
      <c r="L13" s="74" t="s">
        <v>3468</v>
      </c>
      <c r="M13" t="s">
        <v>1221</v>
      </c>
      <c r="N13" t="s">
        <v>1220</v>
      </c>
      <c r="O13" t="s">
        <v>4362</v>
      </c>
      <c r="P13" t="s">
        <v>4363</v>
      </c>
      <c r="Q13" t="s">
        <v>3469</v>
      </c>
      <c r="R13" s="76" t="s">
        <v>3470</v>
      </c>
      <c r="S13" t="s">
        <v>4494</v>
      </c>
      <c r="T13" t="s">
        <v>4495</v>
      </c>
      <c r="U13" t="s">
        <v>342</v>
      </c>
      <c r="V13" t="s">
        <v>3473</v>
      </c>
      <c r="W13" t="s">
        <v>2273</v>
      </c>
      <c r="X13" t="s">
        <v>1188</v>
      </c>
      <c r="Y13" t="s">
        <v>3474</v>
      </c>
      <c r="Z13" s="3" t="s">
        <v>3475</v>
      </c>
      <c r="AA13" s="3" t="s">
        <v>3476</v>
      </c>
      <c r="AB13" s="3" t="s">
        <v>3475</v>
      </c>
      <c r="AC13" s="3" t="s">
        <v>3476</v>
      </c>
      <c r="AD13" s="3" t="s">
        <v>3258</v>
      </c>
      <c r="AE13" s="3" t="s">
        <v>3259</v>
      </c>
      <c r="AF13" t="s">
        <v>1482</v>
      </c>
      <c r="AG13" t="s">
        <v>3277</v>
      </c>
      <c r="AH13" t="s">
        <v>910</v>
      </c>
      <c r="AI13" t="s">
        <v>3263</v>
      </c>
      <c r="AJ13" t="s">
        <v>1068</v>
      </c>
      <c r="AK13" t="s">
        <v>3289</v>
      </c>
      <c r="AL13" t="s">
        <v>1975</v>
      </c>
      <c r="AM13" t="s">
        <v>3477</v>
      </c>
      <c r="AN13" s="3" t="s">
        <v>3269</v>
      </c>
      <c r="AO13" s="3" t="s">
        <v>3270</v>
      </c>
      <c r="AP13" t="s">
        <v>3252</v>
      </c>
      <c r="AQ13" t="s">
        <v>3253</v>
      </c>
      <c r="AR13" s="3" t="s">
        <v>3269</v>
      </c>
      <c r="AS13" s="3" t="s">
        <v>3270</v>
      </c>
      <c r="AT13" t="s">
        <v>3478</v>
      </c>
      <c r="AU13" t="s">
        <v>3479</v>
      </c>
      <c r="AV13" s="74" t="s">
        <v>3480</v>
      </c>
      <c r="AW13" s="74" t="s">
        <v>3481</v>
      </c>
      <c r="AX13" t="s">
        <v>3387</v>
      </c>
      <c r="AY13" t="s">
        <v>3388</v>
      </c>
      <c r="AZ13" t="s">
        <v>3452</v>
      </c>
      <c r="BA13" t="s">
        <v>3453</v>
      </c>
      <c r="BB13" t="s">
        <v>3428</v>
      </c>
      <c r="BC13" t="s">
        <v>3482</v>
      </c>
      <c r="BD13" t="s">
        <v>1180</v>
      </c>
      <c r="BE13" t="s">
        <v>3326</v>
      </c>
      <c r="BF13" t="s">
        <v>1185</v>
      </c>
      <c r="BG13" t="s">
        <v>3386</v>
      </c>
      <c r="BH13" t="s">
        <v>2424</v>
      </c>
      <c r="BI13" t="s">
        <v>3331</v>
      </c>
      <c r="BJ13" t="s">
        <v>3483</v>
      </c>
      <c r="BK13" t="s">
        <v>3484</v>
      </c>
      <c r="BL13" t="s">
        <v>3426</v>
      </c>
      <c r="BM13" t="s">
        <v>3485</v>
      </c>
      <c r="BN13" t="s">
        <v>3359</v>
      </c>
      <c r="BO13" t="s">
        <v>3486</v>
      </c>
      <c r="BT13" t="s">
        <v>3487</v>
      </c>
      <c r="BU13" t="s">
        <v>3488</v>
      </c>
      <c r="BV13" t="s">
        <v>3489</v>
      </c>
      <c r="BW13" t="s">
        <v>3459</v>
      </c>
      <c r="BX13" t="s">
        <v>3490</v>
      </c>
      <c r="BY13" t="s">
        <v>3491</v>
      </c>
      <c r="BZ13" t="s">
        <v>5136</v>
      </c>
      <c r="CA13" t="s">
        <v>5137</v>
      </c>
      <c r="CB13" t="s">
        <v>3493</v>
      </c>
      <c r="CC13" t="s">
        <v>3494</v>
      </c>
      <c r="CD13" t="s">
        <v>4586</v>
      </c>
      <c r="CE13" s="74" t="s">
        <v>4587</v>
      </c>
      <c r="CF13" t="s">
        <v>4838</v>
      </c>
      <c r="CG13" t="s">
        <v>4857</v>
      </c>
    </row>
    <row r="14" spans="1:94" x14ac:dyDescent="0.25">
      <c r="A14" s="3" t="s">
        <v>2741</v>
      </c>
      <c r="B14" s="3" t="s">
        <v>3495</v>
      </c>
      <c r="C14" s="3" t="s">
        <v>4998</v>
      </c>
      <c r="D14" s="3" t="s">
        <v>5001</v>
      </c>
      <c r="E14" t="s">
        <v>965</v>
      </c>
      <c r="F14" t="s">
        <v>3497</v>
      </c>
      <c r="I14" t="s">
        <v>1111</v>
      </c>
      <c r="J14" t="s">
        <v>1111</v>
      </c>
      <c r="K14" t="s">
        <v>1091</v>
      </c>
      <c r="L14" s="74" t="s">
        <v>3498</v>
      </c>
      <c r="M14" t="s">
        <v>1223</v>
      </c>
      <c r="N14" t="s">
        <v>1222</v>
      </c>
      <c r="O14" s="74"/>
      <c r="P14" s="74"/>
      <c r="S14" t="s">
        <v>3441</v>
      </c>
      <c r="T14" t="s">
        <v>4926</v>
      </c>
      <c r="U14" t="s">
        <v>1762</v>
      </c>
      <c r="V14" t="s">
        <v>3501</v>
      </c>
      <c r="W14" t="s">
        <v>2450</v>
      </c>
      <c r="X14" t="s">
        <v>1192</v>
      </c>
      <c r="Y14" t="s">
        <v>3502</v>
      </c>
      <c r="Z14" s="3" t="s">
        <v>3503</v>
      </c>
      <c r="AA14" s="3" t="s">
        <v>3504</v>
      </c>
      <c r="AB14" s="3" t="s">
        <v>3503</v>
      </c>
      <c r="AC14" s="3" t="s">
        <v>3504</v>
      </c>
      <c r="AD14" s="3" t="s">
        <v>3309</v>
      </c>
      <c r="AE14" s="3" t="s">
        <v>3310</v>
      </c>
      <c r="AF14" t="s">
        <v>2602</v>
      </c>
      <c r="AG14" t="s">
        <v>3300</v>
      </c>
      <c r="AH14" t="s">
        <v>1081</v>
      </c>
      <c r="AI14" s="3" t="s">
        <v>3447</v>
      </c>
      <c r="AJ14" t="s">
        <v>1180</v>
      </c>
      <c r="AK14" t="s">
        <v>3326</v>
      </c>
      <c r="AL14" t="s">
        <v>3475</v>
      </c>
      <c r="AM14" t="s">
        <v>3476</v>
      </c>
      <c r="AN14" t="s">
        <v>2232</v>
      </c>
      <c r="AO14" t="s">
        <v>3324</v>
      </c>
      <c r="AP14" s="3" t="s">
        <v>3269</v>
      </c>
      <c r="AQ14" s="3" t="s">
        <v>3270</v>
      </c>
      <c r="AR14" t="s">
        <v>2232</v>
      </c>
      <c r="AS14" t="s">
        <v>3324</v>
      </c>
      <c r="AT14" t="s">
        <v>3505</v>
      </c>
      <c r="AU14" t="s">
        <v>3506</v>
      </c>
      <c r="AV14" s="74" t="s">
        <v>1487</v>
      </c>
      <c r="AW14" s="9" t="s">
        <v>3507</v>
      </c>
      <c r="AX14" t="s">
        <v>3421</v>
      </c>
      <c r="AY14" t="s">
        <v>3422</v>
      </c>
      <c r="AZ14" t="s">
        <v>3252</v>
      </c>
      <c r="BA14" t="s">
        <v>3253</v>
      </c>
      <c r="BB14" t="s">
        <v>3483</v>
      </c>
      <c r="BC14" t="s">
        <v>3508</v>
      </c>
      <c r="BD14" t="s">
        <v>1027</v>
      </c>
      <c r="BE14" t="s">
        <v>3353</v>
      </c>
      <c r="BF14" t="s">
        <v>1476</v>
      </c>
      <c r="BG14" t="s">
        <v>3420</v>
      </c>
      <c r="BJ14" t="s">
        <v>3509</v>
      </c>
      <c r="BK14" t="s">
        <v>3510</v>
      </c>
      <c r="BL14" t="s">
        <v>3483</v>
      </c>
      <c r="BM14" t="s">
        <v>3511</v>
      </c>
      <c r="BN14" t="s">
        <v>3426</v>
      </c>
      <c r="BO14" t="s">
        <v>3485</v>
      </c>
      <c r="BT14" t="s">
        <v>3512</v>
      </c>
      <c r="BU14" t="s">
        <v>3513</v>
      </c>
      <c r="BV14" t="s">
        <v>3369</v>
      </c>
      <c r="BW14" t="s">
        <v>3370</v>
      </c>
      <c r="BX14" t="s">
        <v>3514</v>
      </c>
      <c r="BY14" t="s">
        <v>3515</v>
      </c>
      <c r="BZ14" t="s">
        <v>3492</v>
      </c>
      <c r="CA14" t="s">
        <v>3492</v>
      </c>
      <c r="CB14" t="s">
        <v>2952</v>
      </c>
      <c r="CC14" t="s">
        <v>3517</v>
      </c>
      <c r="CD14" t="s">
        <v>4574</v>
      </c>
      <c r="CE14" t="s">
        <v>4577</v>
      </c>
      <c r="CF14" t="s">
        <v>4839</v>
      </c>
      <c r="CG14" t="s">
        <v>4858</v>
      </c>
      <c r="CO14" t="s">
        <v>1180</v>
      </c>
      <c r="CP14" t="s">
        <v>3326</v>
      </c>
    </row>
    <row r="15" spans="1:94" x14ac:dyDescent="0.25">
      <c r="A15" s="3" t="s">
        <v>2743</v>
      </c>
      <c r="B15" s="3" t="s">
        <v>3518</v>
      </c>
      <c r="C15" s="3" t="s">
        <v>52</v>
      </c>
      <c r="D15" s="3" t="s">
        <v>3437</v>
      </c>
      <c r="E15" t="s">
        <v>920</v>
      </c>
      <c r="F15" t="s">
        <v>3446</v>
      </c>
      <c r="G15" s="3"/>
      <c r="H15" s="3"/>
      <c r="I15" t="s">
        <v>1112</v>
      </c>
      <c r="J15" t="s">
        <v>1112</v>
      </c>
      <c r="K15" s="3" t="s">
        <v>5089</v>
      </c>
      <c r="L15" s="74" t="s">
        <v>5091</v>
      </c>
      <c r="M15" t="s">
        <v>1101</v>
      </c>
      <c r="N15" s="74" t="s">
        <v>3520</v>
      </c>
      <c r="O15" s="74"/>
      <c r="P15" s="74"/>
      <c r="S15" t="s">
        <v>3471</v>
      </c>
      <c r="T15" t="s">
        <v>3472</v>
      </c>
      <c r="U15" t="s">
        <v>3378</v>
      </c>
      <c r="V15" t="s">
        <v>3523</v>
      </c>
      <c r="W15" t="s">
        <v>3367</v>
      </c>
      <c r="X15" t="s">
        <v>2441</v>
      </c>
      <c r="Y15" t="s">
        <v>3524</v>
      </c>
      <c r="Z15" s="3" t="s">
        <v>3284</v>
      </c>
      <c r="AA15" s="3" t="s">
        <v>3285</v>
      </c>
      <c r="AB15" s="3" t="s">
        <v>3284</v>
      </c>
      <c r="AC15" s="3" t="s">
        <v>3285</v>
      </c>
      <c r="AF15" t="s">
        <v>910</v>
      </c>
      <c r="AG15" t="s">
        <v>3263</v>
      </c>
      <c r="AH15" t="s">
        <v>1068</v>
      </c>
      <c r="AI15" t="s">
        <v>3289</v>
      </c>
      <c r="AJ15" t="s">
        <v>1027</v>
      </c>
      <c r="AK15" t="s">
        <v>3353</v>
      </c>
      <c r="AL15" t="s">
        <v>3503</v>
      </c>
      <c r="AM15" t="s">
        <v>3504</v>
      </c>
      <c r="AN15" t="s">
        <v>2602</v>
      </c>
      <c r="AO15" t="s">
        <v>3300</v>
      </c>
      <c r="AP15" t="s">
        <v>2232</v>
      </c>
      <c r="AQ15" t="s">
        <v>3324</v>
      </c>
      <c r="AR15" t="s">
        <v>2602</v>
      </c>
      <c r="AS15" t="s">
        <v>3300</v>
      </c>
      <c r="AT15" t="s">
        <v>3525</v>
      </c>
      <c r="AU15" t="s">
        <v>3526</v>
      </c>
      <c r="AV15" s="74" t="s">
        <v>3252</v>
      </c>
      <c r="AW15" t="s">
        <v>3253</v>
      </c>
      <c r="AX15" t="s">
        <v>3424</v>
      </c>
      <c r="AY15" t="s">
        <v>3425</v>
      </c>
      <c r="AZ15" t="s">
        <v>3269</v>
      </c>
      <c r="BA15" t="s">
        <v>3270</v>
      </c>
      <c r="BB15" t="s">
        <v>3509</v>
      </c>
      <c r="BC15" t="s">
        <v>3527</v>
      </c>
      <c r="BD15" t="s">
        <v>1185</v>
      </c>
      <c r="BE15" t="s">
        <v>3386</v>
      </c>
      <c r="BF15" t="s">
        <v>3284</v>
      </c>
      <c r="BG15" t="s">
        <v>3285</v>
      </c>
      <c r="BJ15" t="s">
        <v>3528</v>
      </c>
      <c r="BK15" t="s">
        <v>3529</v>
      </c>
      <c r="BL15" t="s">
        <v>3509</v>
      </c>
      <c r="BM15" t="s">
        <v>3530</v>
      </c>
      <c r="BN15" t="s">
        <v>3483</v>
      </c>
      <c r="BO15" t="s">
        <v>3511</v>
      </c>
      <c r="BT15" t="s">
        <v>3531</v>
      </c>
      <c r="BU15" t="s">
        <v>3532</v>
      </c>
      <c r="BV15" t="s">
        <v>3533</v>
      </c>
      <c r="BW15" t="s">
        <v>3534</v>
      </c>
      <c r="BX15" t="s">
        <v>3535</v>
      </c>
      <c r="BY15" t="s">
        <v>3536</v>
      </c>
      <c r="BZ15" t="s">
        <v>2964</v>
      </c>
      <c r="CA15" t="s">
        <v>3516</v>
      </c>
      <c r="CB15" t="s">
        <v>3538</v>
      </c>
      <c r="CC15" t="s">
        <v>3539</v>
      </c>
      <c r="CD15" t="s">
        <v>4583</v>
      </c>
      <c r="CE15" t="s">
        <v>5115</v>
      </c>
      <c r="CF15" t="s">
        <v>4840</v>
      </c>
      <c r="CG15" t="s">
        <v>4921</v>
      </c>
      <c r="CO15" t="s">
        <v>1027</v>
      </c>
      <c r="CP15" t="s">
        <v>3353</v>
      </c>
    </row>
    <row r="16" spans="1:94" ht="30" x14ac:dyDescent="0.25">
      <c r="A16" s="3" t="s">
        <v>2747</v>
      </c>
      <c r="B16" s="3" t="s">
        <v>3540</v>
      </c>
      <c r="C16" s="3" t="s">
        <v>51</v>
      </c>
      <c r="D16" s="3" t="s">
        <v>3466</v>
      </c>
      <c r="E16" t="s">
        <v>3475</v>
      </c>
      <c r="F16" s="3" t="s">
        <v>3476</v>
      </c>
      <c r="I16" t="s">
        <v>1113</v>
      </c>
      <c r="J16" t="s">
        <v>1113</v>
      </c>
      <c r="K16" s="3" t="s">
        <v>5090</v>
      </c>
      <c r="L16" s="74" t="s">
        <v>5092</v>
      </c>
      <c r="M16" t="s">
        <v>952</v>
      </c>
      <c r="N16" s="74" t="s">
        <v>3543</v>
      </c>
      <c r="O16" s="74"/>
      <c r="P16" s="74"/>
      <c r="S16" t="s">
        <v>3499</v>
      </c>
      <c r="T16" s="74" t="s">
        <v>3500</v>
      </c>
      <c r="U16" t="s">
        <v>1842</v>
      </c>
      <c r="V16" t="s">
        <v>3546</v>
      </c>
      <c r="W16" t="s">
        <v>1180</v>
      </c>
      <c r="X16" t="s">
        <v>3367</v>
      </c>
      <c r="Y16" t="s">
        <v>3547</v>
      </c>
      <c r="Z16" s="3" t="s">
        <v>3258</v>
      </c>
      <c r="AA16" s="3" t="s">
        <v>3259</v>
      </c>
      <c r="AB16" s="3" t="s">
        <v>3258</v>
      </c>
      <c r="AC16" s="3" t="s">
        <v>3259</v>
      </c>
      <c r="AF16" t="s">
        <v>1081</v>
      </c>
      <c r="AG16" s="3" t="s">
        <v>3447</v>
      </c>
      <c r="AH16" t="s">
        <v>1180</v>
      </c>
      <c r="AI16" t="s">
        <v>3326</v>
      </c>
      <c r="AJ16" t="s">
        <v>1185</v>
      </c>
      <c r="AK16" t="s">
        <v>3386</v>
      </c>
      <c r="AL16" s="3" t="s">
        <v>3548</v>
      </c>
      <c r="AM16" t="s">
        <v>3549</v>
      </c>
      <c r="AN16" t="s">
        <v>3284</v>
      </c>
      <c r="AO16" t="s">
        <v>3285</v>
      </c>
      <c r="AP16" t="s">
        <v>2602</v>
      </c>
      <c r="AQ16" t="s">
        <v>3300</v>
      </c>
      <c r="AR16" t="s">
        <v>3284</v>
      </c>
      <c r="AS16" t="s">
        <v>3285</v>
      </c>
      <c r="AT16" t="s">
        <v>3550</v>
      </c>
      <c r="AU16" t="s">
        <v>3551</v>
      </c>
      <c r="AV16" s="74" t="s">
        <v>2232</v>
      </c>
      <c r="AW16" t="s">
        <v>3552</v>
      </c>
      <c r="AX16" t="s">
        <v>3452</v>
      </c>
      <c r="AY16" t="s">
        <v>3453</v>
      </c>
      <c r="AZ16" t="s">
        <v>2232</v>
      </c>
      <c r="BA16" t="s">
        <v>3324</v>
      </c>
      <c r="BB16" t="s">
        <v>3553</v>
      </c>
      <c r="BC16" t="s">
        <v>3554</v>
      </c>
      <c r="BD16" t="s">
        <v>1476</v>
      </c>
      <c r="BE16" t="s">
        <v>3420</v>
      </c>
      <c r="BF16" t="s">
        <v>3258</v>
      </c>
      <c r="BG16" t="s">
        <v>3259</v>
      </c>
      <c r="BJ16" t="s">
        <v>3555</v>
      </c>
      <c r="BK16" t="s">
        <v>3556</v>
      </c>
      <c r="BL16" t="s">
        <v>3557</v>
      </c>
      <c r="BM16" t="s">
        <v>3558</v>
      </c>
      <c r="BN16" t="s">
        <v>3509</v>
      </c>
      <c r="BO16" t="s">
        <v>3530</v>
      </c>
      <c r="BT16" t="s">
        <v>3559</v>
      </c>
      <c r="BU16" t="s">
        <v>3560</v>
      </c>
      <c r="BV16" t="s">
        <v>3561</v>
      </c>
      <c r="BW16" t="s">
        <v>3562</v>
      </c>
      <c r="BX16" t="s">
        <v>3563</v>
      </c>
      <c r="BY16" t="s">
        <v>3564</v>
      </c>
      <c r="BZ16" t="s">
        <v>2769</v>
      </c>
      <c r="CA16" t="s">
        <v>3537</v>
      </c>
      <c r="CB16" t="s">
        <v>3567</v>
      </c>
      <c r="CC16" t="s">
        <v>3568</v>
      </c>
      <c r="CD16" t="s">
        <v>4584</v>
      </c>
      <c r="CE16" t="s">
        <v>5116</v>
      </c>
      <c r="CF16" t="s">
        <v>4841</v>
      </c>
      <c r="CG16" t="s">
        <v>4922</v>
      </c>
      <c r="CO16" t="s">
        <v>1185</v>
      </c>
      <c r="CP16" t="s">
        <v>3386</v>
      </c>
    </row>
    <row r="17" spans="1:85" x14ac:dyDescent="0.25">
      <c r="A17" s="3" t="s">
        <v>3475</v>
      </c>
      <c r="B17" s="3" t="s">
        <v>3569</v>
      </c>
      <c r="C17" s="3" t="s">
        <v>54</v>
      </c>
      <c r="D17" s="3" t="s">
        <v>3496</v>
      </c>
      <c r="E17" t="s">
        <v>57</v>
      </c>
      <c r="F17" t="s">
        <v>3504</v>
      </c>
      <c r="I17" t="s">
        <v>1114</v>
      </c>
      <c r="J17" t="s">
        <v>1114</v>
      </c>
      <c r="K17" t="s">
        <v>947</v>
      </c>
      <c r="L17" s="74" t="s">
        <v>3519</v>
      </c>
      <c r="M17" t="s">
        <v>1099</v>
      </c>
      <c r="N17" s="74" t="s">
        <v>3571</v>
      </c>
      <c r="O17" s="74"/>
      <c r="P17" s="74"/>
      <c r="S17" s="74" t="s">
        <v>3521</v>
      </c>
      <c r="T17" s="74" t="s">
        <v>3522</v>
      </c>
      <c r="U17" t="s">
        <v>1844</v>
      </c>
      <c r="V17" t="s">
        <v>3574</v>
      </c>
      <c r="W17" t="s">
        <v>1027</v>
      </c>
      <c r="X17" s="3" t="s">
        <v>3327</v>
      </c>
      <c r="Y17" s="3" t="s">
        <v>3433</v>
      </c>
      <c r="Z17" s="3" t="s">
        <v>3309</v>
      </c>
      <c r="AA17" s="3" t="s">
        <v>3310</v>
      </c>
      <c r="AB17" s="3" t="s">
        <v>3309</v>
      </c>
      <c r="AC17" s="3" t="s">
        <v>3310</v>
      </c>
      <c r="AF17" t="s">
        <v>1068</v>
      </c>
      <c r="AG17" t="s">
        <v>3289</v>
      </c>
      <c r="AH17" t="s">
        <v>1027</v>
      </c>
      <c r="AI17" t="s">
        <v>3353</v>
      </c>
      <c r="AJ17" t="s">
        <v>1188</v>
      </c>
      <c r="AK17" t="s">
        <v>3474</v>
      </c>
      <c r="AL17" s="3" t="s">
        <v>3284</v>
      </c>
      <c r="AM17" t="s">
        <v>3285</v>
      </c>
      <c r="AN17" s="3" t="s">
        <v>1188</v>
      </c>
      <c r="AO17" t="s">
        <v>3474</v>
      </c>
      <c r="AP17" t="s">
        <v>3284</v>
      </c>
      <c r="AQ17" t="s">
        <v>3285</v>
      </c>
      <c r="AR17" t="s">
        <v>1188</v>
      </c>
      <c r="AS17" t="s">
        <v>3474</v>
      </c>
      <c r="AT17" t="s">
        <v>3575</v>
      </c>
      <c r="AU17" t="s">
        <v>3576</v>
      </c>
      <c r="AV17" s="74" t="s">
        <v>2602</v>
      </c>
      <c r="AW17" s="9" t="s">
        <v>3300</v>
      </c>
      <c r="AX17" t="s">
        <v>3252</v>
      </c>
      <c r="AY17" t="s">
        <v>3253</v>
      </c>
      <c r="AZ17" t="s">
        <v>2022</v>
      </c>
      <c r="BA17" t="s">
        <v>3296</v>
      </c>
      <c r="BB17" t="s">
        <v>3577</v>
      </c>
      <c r="BC17" t="s">
        <v>3578</v>
      </c>
      <c r="BD17" t="s">
        <v>3284</v>
      </c>
      <c r="BE17" t="s">
        <v>3285</v>
      </c>
      <c r="BF17" t="s">
        <v>3309</v>
      </c>
      <c r="BG17" t="s">
        <v>3310</v>
      </c>
      <c r="BJ17" t="s">
        <v>3579</v>
      </c>
      <c r="BK17" t="s">
        <v>3580</v>
      </c>
      <c r="BL17" t="s">
        <v>3581</v>
      </c>
      <c r="BM17" t="s">
        <v>3582</v>
      </c>
      <c r="BN17" t="s">
        <v>3243</v>
      </c>
      <c r="BO17" t="s">
        <v>3583</v>
      </c>
      <c r="BT17" t="s">
        <v>3584</v>
      </c>
      <c r="BU17" t="s">
        <v>3585</v>
      </c>
      <c r="BV17" t="s">
        <v>3586</v>
      </c>
      <c r="BW17" t="s">
        <v>3587</v>
      </c>
      <c r="BX17" t="s">
        <v>3588</v>
      </c>
      <c r="BY17" t="s">
        <v>3589</v>
      </c>
      <c r="BZ17" t="s">
        <v>3565</v>
      </c>
      <c r="CA17" t="s">
        <v>3566</v>
      </c>
      <c r="CB17" t="s">
        <v>3590</v>
      </c>
      <c r="CC17" t="s">
        <v>3591</v>
      </c>
      <c r="CD17" t="s">
        <v>4576</v>
      </c>
      <c r="CE17" t="s">
        <v>5117</v>
      </c>
      <c r="CF17" t="s">
        <v>4842</v>
      </c>
      <c r="CG17" t="s">
        <v>4923</v>
      </c>
    </row>
    <row r="18" spans="1:85" ht="30" x14ac:dyDescent="0.25">
      <c r="A18" s="3" t="s">
        <v>3592</v>
      </c>
      <c r="B18" t="s">
        <v>3504</v>
      </c>
      <c r="C18" s="3" t="s">
        <v>56</v>
      </c>
      <c r="D18" s="3" t="s">
        <v>3419</v>
      </c>
      <c r="E18" t="s">
        <v>1137</v>
      </c>
      <c r="F18" t="s">
        <v>3593</v>
      </c>
      <c r="I18" t="s">
        <v>1115</v>
      </c>
      <c r="J18" t="s">
        <v>1115</v>
      </c>
      <c r="K18" t="s">
        <v>944</v>
      </c>
      <c r="L18" s="74" t="s">
        <v>3542</v>
      </c>
      <c r="M18" s="74" t="s">
        <v>1217</v>
      </c>
      <c r="N18" s="74" t="s">
        <v>1216</v>
      </c>
      <c r="O18" s="74"/>
      <c r="P18" s="74"/>
      <c r="S18" s="74" t="s">
        <v>3544</v>
      </c>
      <c r="T18" s="74" t="s">
        <v>3545</v>
      </c>
      <c r="U18" t="s">
        <v>1522</v>
      </c>
      <c r="V18" t="s">
        <v>3597</v>
      </c>
      <c r="W18" t="s">
        <v>1185</v>
      </c>
      <c r="X18" t="s">
        <v>2271</v>
      </c>
      <c r="Y18" t="s">
        <v>3598</v>
      </c>
      <c r="AF18" t="s">
        <v>1180</v>
      </c>
      <c r="AG18" t="s">
        <v>3326</v>
      </c>
      <c r="AH18" t="s">
        <v>1185</v>
      </c>
      <c r="AI18" t="s">
        <v>3386</v>
      </c>
      <c r="AJ18" t="s">
        <v>1476</v>
      </c>
      <c r="AK18" t="s">
        <v>3420</v>
      </c>
      <c r="AL18" s="3" t="s">
        <v>3258</v>
      </c>
      <c r="AM18" t="s">
        <v>3259</v>
      </c>
      <c r="AN18" t="s">
        <v>2022</v>
      </c>
      <c r="AO18" t="s">
        <v>3296</v>
      </c>
      <c r="AP18" t="s">
        <v>1188</v>
      </c>
      <c r="AQ18" t="s">
        <v>3474</v>
      </c>
      <c r="AR18" t="s">
        <v>2022</v>
      </c>
      <c r="AS18" t="s">
        <v>3296</v>
      </c>
      <c r="AT18" t="s">
        <v>910</v>
      </c>
      <c r="AU18" t="s">
        <v>3263</v>
      </c>
      <c r="AV18" s="74" t="s">
        <v>1482</v>
      </c>
      <c r="AW18" t="s">
        <v>3277</v>
      </c>
      <c r="AX18" t="s">
        <v>3269</v>
      </c>
      <c r="AY18" t="s">
        <v>3270</v>
      </c>
      <c r="AZ18" t="s">
        <v>3258</v>
      </c>
      <c r="BA18" t="s">
        <v>3259</v>
      </c>
      <c r="BB18" t="s">
        <v>3600</v>
      </c>
      <c r="BC18" t="s">
        <v>3601</v>
      </c>
      <c r="BD18" t="s">
        <v>3258</v>
      </c>
      <c r="BE18" t="s">
        <v>3259</v>
      </c>
      <c r="BF18" t="s">
        <v>3273</v>
      </c>
      <c r="BG18" t="s">
        <v>3274</v>
      </c>
      <c r="BJ18" t="s">
        <v>3602</v>
      </c>
      <c r="BK18" t="s">
        <v>3603</v>
      </c>
      <c r="BL18" t="s">
        <v>3602</v>
      </c>
      <c r="BM18" t="s">
        <v>3604</v>
      </c>
      <c r="BN18" t="s">
        <v>3254</v>
      </c>
      <c r="BO18" t="s">
        <v>3605</v>
      </c>
      <c r="BT18" t="s">
        <v>3606</v>
      </c>
      <c r="BU18" t="s">
        <v>3607</v>
      </c>
      <c r="BV18" t="s">
        <v>3608</v>
      </c>
      <c r="BW18" t="s">
        <v>3609</v>
      </c>
      <c r="BX18" t="s">
        <v>3610</v>
      </c>
      <c r="BY18" t="s">
        <v>3611</v>
      </c>
      <c r="BZ18" t="s">
        <v>1185</v>
      </c>
      <c r="CA18" t="s">
        <v>4432</v>
      </c>
      <c r="CB18" t="s">
        <v>910</v>
      </c>
      <c r="CC18" t="s">
        <v>3263</v>
      </c>
      <c r="CD18" t="s">
        <v>4562</v>
      </c>
      <c r="CE18" t="s">
        <v>4571</v>
      </c>
      <c r="CF18" t="s">
        <v>4843</v>
      </c>
      <c r="CG18" t="s">
        <v>4855</v>
      </c>
    </row>
    <row r="19" spans="1:85" ht="30" x14ac:dyDescent="0.25">
      <c r="A19" s="3" t="s">
        <v>3612</v>
      </c>
      <c r="B19" s="3" t="s">
        <v>3613</v>
      </c>
      <c r="C19" s="3" t="s">
        <v>3541</v>
      </c>
      <c r="D19" s="3" t="s">
        <v>3342</v>
      </c>
      <c r="E19" t="s">
        <v>1081</v>
      </c>
      <c r="F19" t="s">
        <v>3614</v>
      </c>
      <c r="I19" t="s">
        <v>1116</v>
      </c>
      <c r="J19" t="s">
        <v>1116</v>
      </c>
      <c r="K19" t="s">
        <v>1067</v>
      </c>
      <c r="L19" s="74" t="s">
        <v>5008</v>
      </c>
      <c r="M19" s="74" t="s">
        <v>1225</v>
      </c>
      <c r="N19" s="74" t="s">
        <v>1224</v>
      </c>
      <c r="O19" s="74"/>
      <c r="P19" s="74"/>
      <c r="S19" s="74" t="s">
        <v>3572</v>
      </c>
      <c r="T19" s="74" t="s">
        <v>3573</v>
      </c>
      <c r="U19" t="s">
        <v>3367</v>
      </c>
      <c r="V19" t="s">
        <v>3368</v>
      </c>
      <c r="W19" t="s">
        <v>1188</v>
      </c>
      <c r="X19" t="s">
        <v>3616</v>
      </c>
      <c r="Y19" t="s">
        <v>3617</v>
      </c>
      <c r="AF19" t="s">
        <v>1027</v>
      </c>
      <c r="AG19" t="s">
        <v>3353</v>
      </c>
      <c r="AH19" t="s">
        <v>1188</v>
      </c>
      <c r="AI19" t="s">
        <v>3474</v>
      </c>
      <c r="AJ19" t="s">
        <v>3448</v>
      </c>
      <c r="AK19" t="s">
        <v>3449</v>
      </c>
      <c r="AL19" s="3" t="s">
        <v>3309</v>
      </c>
      <c r="AM19" t="s">
        <v>3310</v>
      </c>
      <c r="AN19" t="s">
        <v>1192</v>
      </c>
      <c r="AO19" t="s">
        <v>3599</v>
      </c>
      <c r="AP19" t="s">
        <v>2022</v>
      </c>
      <c r="AQ19" t="s">
        <v>3296</v>
      </c>
      <c r="AR19" t="s">
        <v>1192</v>
      </c>
      <c r="AS19" t="s">
        <v>3599</v>
      </c>
      <c r="AT19" t="s">
        <v>1068</v>
      </c>
      <c r="AU19" t="s">
        <v>3289</v>
      </c>
      <c r="AV19" t="s">
        <v>1188</v>
      </c>
      <c r="AW19" t="s">
        <v>3474</v>
      </c>
      <c r="AX19" t="s">
        <v>2232</v>
      </c>
      <c r="AY19" t="s">
        <v>3324</v>
      </c>
      <c r="AZ19" t="s">
        <v>3309</v>
      </c>
      <c r="BA19" t="s">
        <v>3310</v>
      </c>
      <c r="BB19" t="s">
        <v>3619</v>
      </c>
      <c r="BC19" t="s">
        <v>3620</v>
      </c>
      <c r="BD19" t="s">
        <v>3309</v>
      </c>
      <c r="BE19" t="s">
        <v>3310</v>
      </c>
      <c r="BJ19" t="s">
        <v>3621</v>
      </c>
      <c r="BK19" t="s">
        <v>3622</v>
      </c>
      <c r="BL19" t="s">
        <v>3621</v>
      </c>
      <c r="BM19" t="s">
        <v>3623</v>
      </c>
      <c r="BN19" t="s">
        <v>3624</v>
      </c>
      <c r="BO19" t="s">
        <v>3625</v>
      </c>
      <c r="BT19" t="s">
        <v>3626</v>
      </c>
      <c r="BU19" t="s">
        <v>3627</v>
      </c>
      <c r="BV19" t="s">
        <v>3628</v>
      </c>
      <c r="BW19" t="s">
        <v>3629</v>
      </c>
      <c r="BX19" t="s">
        <v>3630</v>
      </c>
      <c r="BY19" t="s">
        <v>3631</v>
      </c>
      <c r="BZ19" t="s">
        <v>1476</v>
      </c>
      <c r="CA19" t="s">
        <v>3420</v>
      </c>
      <c r="CB19" t="s">
        <v>1068</v>
      </c>
      <c r="CC19" t="s">
        <v>3289</v>
      </c>
      <c r="CD19" t="s">
        <v>4563</v>
      </c>
      <c r="CE19" t="s">
        <v>4572</v>
      </c>
      <c r="CF19" t="s">
        <v>4844</v>
      </c>
      <c r="CG19" t="s">
        <v>4852</v>
      </c>
    </row>
    <row r="20" spans="1:85" x14ac:dyDescent="0.25">
      <c r="A20" s="3" t="s">
        <v>3633</v>
      </c>
      <c r="B20" t="s">
        <v>3634</v>
      </c>
      <c r="C20" s="3" t="s">
        <v>58</v>
      </c>
      <c r="D20" s="3" t="s">
        <v>3569</v>
      </c>
      <c r="E20" t="s">
        <v>3314</v>
      </c>
      <c r="F20" t="s">
        <v>3315</v>
      </c>
      <c r="I20" t="s">
        <v>1117</v>
      </c>
      <c r="J20" t="s">
        <v>1117</v>
      </c>
      <c r="K20" t="s">
        <v>1086</v>
      </c>
      <c r="L20" s="74" t="s">
        <v>3570</v>
      </c>
      <c r="M20" s="74" t="s">
        <v>1239</v>
      </c>
      <c r="N20" s="74" t="s">
        <v>3636</v>
      </c>
      <c r="S20" s="74" t="s">
        <v>3595</v>
      </c>
      <c r="T20" s="74" t="s">
        <v>3596</v>
      </c>
      <c r="U20" s="3" t="s">
        <v>3327</v>
      </c>
      <c r="V20" s="3" t="s">
        <v>3433</v>
      </c>
      <c r="W20" t="s">
        <v>1192</v>
      </c>
      <c r="X20" t="s">
        <v>3637</v>
      </c>
      <c r="Y20" t="s">
        <v>3638</v>
      </c>
      <c r="AC20" s="77"/>
      <c r="AF20" t="s">
        <v>1185</v>
      </c>
      <c r="AG20" t="s">
        <v>3386</v>
      </c>
      <c r="AH20" t="s">
        <v>1476</v>
      </c>
      <c r="AI20" t="s">
        <v>3420</v>
      </c>
      <c r="AJ20" t="s">
        <v>2014</v>
      </c>
      <c r="AK20" t="s">
        <v>2014</v>
      </c>
      <c r="AL20" s="12"/>
      <c r="AN20" t="s">
        <v>1487</v>
      </c>
      <c r="AO20" s="9" t="s">
        <v>3618</v>
      </c>
      <c r="AP20" t="s">
        <v>1192</v>
      </c>
      <c r="AQ20" t="s">
        <v>3599</v>
      </c>
      <c r="AR20" t="s">
        <v>1487</v>
      </c>
      <c r="AS20" s="9" t="s">
        <v>3618</v>
      </c>
      <c r="AT20" s="3" t="s">
        <v>3320</v>
      </c>
      <c r="AU20" s="3" t="s">
        <v>3321</v>
      </c>
      <c r="AV20" s="74" t="s">
        <v>2031</v>
      </c>
      <c r="AW20" t="s">
        <v>3640</v>
      </c>
      <c r="AX20" t="s">
        <v>2022</v>
      </c>
      <c r="AY20" t="s">
        <v>3296</v>
      </c>
      <c r="AZ20" t="s">
        <v>1192</v>
      </c>
      <c r="BA20" t="s">
        <v>3599</v>
      </c>
      <c r="BB20" t="s">
        <v>3521</v>
      </c>
      <c r="BC20" t="s">
        <v>3267</v>
      </c>
      <c r="BD20" t="s">
        <v>3273</v>
      </c>
      <c r="BE20" t="s">
        <v>3274</v>
      </c>
      <c r="BJ20" s="20" t="s">
        <v>3641</v>
      </c>
      <c r="BK20" s="20" t="s">
        <v>3642</v>
      </c>
      <c r="BL20" t="s">
        <v>3421</v>
      </c>
      <c r="BM20" t="s">
        <v>3643</v>
      </c>
      <c r="BN20" t="s">
        <v>3644</v>
      </c>
      <c r="BO20" t="s">
        <v>3645</v>
      </c>
      <c r="BT20" t="s">
        <v>3646</v>
      </c>
      <c r="BU20" t="s">
        <v>3647</v>
      </c>
      <c r="BV20" t="s">
        <v>3648</v>
      </c>
      <c r="BW20" t="s">
        <v>3649</v>
      </c>
      <c r="BX20" t="s">
        <v>1137</v>
      </c>
      <c r="BY20" t="s">
        <v>3593</v>
      </c>
      <c r="BZ20" t="s">
        <v>1487</v>
      </c>
      <c r="CA20" s="9" t="s">
        <v>3507</v>
      </c>
      <c r="CB20" t="s">
        <v>3565</v>
      </c>
      <c r="CC20" t="s">
        <v>3566</v>
      </c>
      <c r="CD20" t="s">
        <v>4564</v>
      </c>
      <c r="CE20" t="s">
        <v>4573</v>
      </c>
      <c r="CF20" t="s">
        <v>4845</v>
      </c>
      <c r="CG20" t="s">
        <v>4495</v>
      </c>
    </row>
    <row r="21" spans="1:85" x14ac:dyDescent="0.25">
      <c r="C21" s="3" t="s">
        <v>3284</v>
      </c>
      <c r="D21" t="s">
        <v>3285</v>
      </c>
      <c r="E21" s="3" t="s">
        <v>3284</v>
      </c>
      <c r="F21" t="s">
        <v>3285</v>
      </c>
      <c r="I21" t="s">
        <v>1118</v>
      </c>
      <c r="J21" t="s">
        <v>1118</v>
      </c>
      <c r="K21" t="s">
        <v>1094</v>
      </c>
      <c r="L21" s="74" t="s">
        <v>3594</v>
      </c>
      <c r="M21" s="74" t="s">
        <v>1229</v>
      </c>
      <c r="N21" s="74" t="s">
        <v>1228</v>
      </c>
      <c r="O21" s="74"/>
      <c r="S21" s="74"/>
      <c r="T21" s="74"/>
      <c r="U21" t="s">
        <v>2271</v>
      </c>
      <c r="V21" t="s">
        <v>3650</v>
      </c>
      <c r="W21" t="s">
        <v>3616</v>
      </c>
      <c r="X21" t="s">
        <v>3478</v>
      </c>
      <c r="Y21" t="s">
        <v>3651</v>
      </c>
      <c r="AF21" t="s">
        <v>1188</v>
      </c>
      <c r="AG21" t="s">
        <v>3474</v>
      </c>
      <c r="AH21" t="s">
        <v>3448</v>
      </c>
      <c r="AI21" t="s">
        <v>3449</v>
      </c>
      <c r="AJ21" t="s">
        <v>2029</v>
      </c>
      <c r="AK21" t="s">
        <v>2029</v>
      </c>
      <c r="AL21" s="12"/>
      <c r="AN21" t="s">
        <v>1489</v>
      </c>
      <c r="AO21" s="9" t="s">
        <v>3639</v>
      </c>
      <c r="AP21" t="s">
        <v>1487</v>
      </c>
      <c r="AQ21" s="9" t="s">
        <v>3618</v>
      </c>
      <c r="AR21" t="s">
        <v>1489</v>
      </c>
      <c r="AS21" s="9" t="s">
        <v>3639</v>
      </c>
      <c r="AT21" t="s">
        <v>1180</v>
      </c>
      <c r="AU21" t="s">
        <v>3326</v>
      </c>
      <c r="AV21" s="74" t="s">
        <v>2035</v>
      </c>
      <c r="AW21" t="s">
        <v>3653</v>
      </c>
      <c r="AX21" t="s">
        <v>3258</v>
      </c>
      <c r="AY21" t="s">
        <v>3259</v>
      </c>
      <c r="AZ21" t="s">
        <v>2935</v>
      </c>
      <c r="BA21" s="3" t="s">
        <v>3385</v>
      </c>
      <c r="BB21" t="s">
        <v>3654</v>
      </c>
      <c r="BC21" t="s">
        <v>160</v>
      </c>
      <c r="BJ21" s="20" t="s">
        <v>3655</v>
      </c>
      <c r="BK21" s="20" t="s">
        <v>3656</v>
      </c>
      <c r="BL21" t="s">
        <v>3657</v>
      </c>
      <c r="BM21" t="s">
        <v>3658</v>
      </c>
      <c r="BN21" t="s">
        <v>3659</v>
      </c>
      <c r="BO21" t="s">
        <v>3660</v>
      </c>
      <c r="BT21" t="s">
        <v>3661</v>
      </c>
      <c r="BU21" t="s">
        <v>3662</v>
      </c>
      <c r="BV21" t="s">
        <v>2663</v>
      </c>
      <c r="BW21" t="s">
        <v>3663</v>
      </c>
      <c r="BX21" t="s">
        <v>920</v>
      </c>
      <c r="BY21" t="s">
        <v>3446</v>
      </c>
      <c r="BZ21" t="s">
        <v>1192</v>
      </c>
      <c r="CA21" t="s">
        <v>3632</v>
      </c>
      <c r="CB21" t="s">
        <v>1185</v>
      </c>
      <c r="CC21" t="s">
        <v>4432</v>
      </c>
      <c r="CD21" t="s">
        <v>4565</v>
      </c>
      <c r="CE21" t="s">
        <v>4568</v>
      </c>
      <c r="CF21" t="s">
        <v>4859</v>
      </c>
      <c r="CG21" t="s">
        <v>3416</v>
      </c>
    </row>
    <row r="22" spans="1:85" x14ac:dyDescent="0.25">
      <c r="C22" s="3" t="s">
        <v>4433</v>
      </c>
      <c r="D22" t="s">
        <v>4434</v>
      </c>
      <c r="E22" t="s">
        <v>3665</v>
      </c>
      <c r="F22" t="s">
        <v>3666</v>
      </c>
      <c r="I22" t="s">
        <v>1119</v>
      </c>
      <c r="J22" t="s">
        <v>1119</v>
      </c>
      <c r="K22" t="s">
        <v>4389</v>
      </c>
      <c r="L22" s="74" t="s">
        <v>4392</v>
      </c>
      <c r="M22" s="74" t="s">
        <v>1231</v>
      </c>
      <c r="N22" s="74" t="s">
        <v>1230</v>
      </c>
      <c r="O22" s="74"/>
      <c r="S22" s="74"/>
      <c r="T22" s="74"/>
      <c r="U22" t="s">
        <v>3616</v>
      </c>
      <c r="V22" t="s">
        <v>3668</v>
      </c>
      <c r="W22" t="s">
        <v>3637</v>
      </c>
      <c r="X22" t="s">
        <v>3669</v>
      </c>
      <c r="Y22" t="s">
        <v>3670</v>
      </c>
      <c r="AF22" t="s">
        <v>4778</v>
      </c>
      <c r="AG22" t="s">
        <v>4779</v>
      </c>
      <c r="AH22" t="s">
        <v>2014</v>
      </c>
      <c r="AI22" t="s">
        <v>2014</v>
      </c>
      <c r="AJ22" t="s">
        <v>2031</v>
      </c>
      <c r="AK22" t="s">
        <v>3640</v>
      </c>
      <c r="AN22" t="s">
        <v>2934</v>
      </c>
      <c r="AO22" t="s">
        <v>2934</v>
      </c>
      <c r="AP22" t="s">
        <v>1489</v>
      </c>
      <c r="AQ22" s="9" t="s">
        <v>3639</v>
      </c>
      <c r="AR22" t="s">
        <v>2934</v>
      </c>
      <c r="AS22" t="s">
        <v>2934</v>
      </c>
      <c r="AT22" t="s">
        <v>1027</v>
      </c>
      <c r="AU22" t="s">
        <v>3353</v>
      </c>
      <c r="AV22" s="74" t="s">
        <v>1598</v>
      </c>
      <c r="AW22" s="74" t="s">
        <v>1598</v>
      </c>
      <c r="AX22" t="s">
        <v>3309</v>
      </c>
      <c r="AY22" t="s">
        <v>3310</v>
      </c>
      <c r="AZ22" t="s">
        <v>1951</v>
      </c>
      <c r="BA22" t="s">
        <v>3277</v>
      </c>
      <c r="BB22" t="s">
        <v>3673</v>
      </c>
      <c r="BC22" t="s">
        <v>67</v>
      </c>
      <c r="BJ22" s="20" t="s">
        <v>3674</v>
      </c>
      <c r="BK22" s="20" t="s">
        <v>3675</v>
      </c>
      <c r="BL22" t="s">
        <v>3676</v>
      </c>
      <c r="BM22" t="s">
        <v>3677</v>
      </c>
      <c r="BN22" t="s">
        <v>3275</v>
      </c>
      <c r="BO22" t="s">
        <v>3678</v>
      </c>
      <c r="BT22" t="s">
        <v>3679</v>
      </c>
      <c r="BU22" t="s">
        <v>3680</v>
      </c>
      <c r="BV22" t="s">
        <v>3681</v>
      </c>
      <c r="BW22" t="s">
        <v>3682</v>
      </c>
      <c r="BX22" t="s">
        <v>3683</v>
      </c>
      <c r="BY22" t="s">
        <v>3684</v>
      </c>
      <c r="BZ22" t="s">
        <v>1188</v>
      </c>
      <c r="CA22" t="s">
        <v>3474</v>
      </c>
      <c r="CB22" t="s">
        <v>1476</v>
      </c>
      <c r="CC22" t="s">
        <v>3420</v>
      </c>
      <c r="CD22" t="s">
        <v>4566</v>
      </c>
      <c r="CE22" t="s">
        <v>4569</v>
      </c>
      <c r="CF22" t="s">
        <v>4860</v>
      </c>
      <c r="CG22" t="s">
        <v>4854</v>
      </c>
    </row>
    <row r="23" spans="1:85" x14ac:dyDescent="0.25">
      <c r="C23" s="3"/>
      <c r="E23" s="3" t="s">
        <v>3688</v>
      </c>
      <c r="F23" t="s">
        <v>3689</v>
      </c>
      <c r="I23" t="s">
        <v>1120</v>
      </c>
      <c r="J23" t="s">
        <v>1120</v>
      </c>
      <c r="K23" t="s">
        <v>4390</v>
      </c>
      <c r="L23" s="74" t="s">
        <v>4391</v>
      </c>
      <c r="M23" t="s">
        <v>1233</v>
      </c>
      <c r="N23" t="s">
        <v>1232</v>
      </c>
      <c r="O23" s="74"/>
      <c r="P23" s="74"/>
      <c r="R23" s="9"/>
      <c r="S23" s="74"/>
      <c r="T23" s="74"/>
      <c r="U23" t="s">
        <v>3637</v>
      </c>
      <c r="V23" t="s">
        <v>3691</v>
      </c>
      <c r="W23" t="s">
        <v>3478</v>
      </c>
      <c r="X23" t="s">
        <v>3692</v>
      </c>
      <c r="Y23" t="s">
        <v>3693</v>
      </c>
      <c r="AF23" t="s">
        <v>1476</v>
      </c>
      <c r="AG23" t="s">
        <v>3420</v>
      </c>
      <c r="AH23" t="s">
        <v>2029</v>
      </c>
      <c r="AI23" t="s">
        <v>2029</v>
      </c>
      <c r="AJ23" t="s">
        <v>2035</v>
      </c>
      <c r="AK23" t="s">
        <v>3653</v>
      </c>
      <c r="AN23" t="s">
        <v>1498</v>
      </c>
      <c r="AO23" s="9" t="s">
        <v>3652</v>
      </c>
      <c r="AP23" t="s">
        <v>2934</v>
      </c>
      <c r="AQ23" t="s">
        <v>2934</v>
      </c>
      <c r="AR23" t="s">
        <v>1498</v>
      </c>
      <c r="AS23" s="9" t="s">
        <v>3652</v>
      </c>
      <c r="AT23" t="s">
        <v>1185</v>
      </c>
      <c r="AU23" t="s">
        <v>3386</v>
      </c>
      <c r="AV23" s="74" t="s">
        <v>1599</v>
      </c>
      <c r="AW23" s="74" t="s">
        <v>1599</v>
      </c>
      <c r="AX23" t="s">
        <v>1192</v>
      </c>
      <c r="AY23" t="s">
        <v>3599</v>
      </c>
      <c r="AZ23" t="s">
        <v>3694</v>
      </c>
      <c r="BA23" t="s">
        <v>3695</v>
      </c>
      <c r="BB23" t="s">
        <v>3696</v>
      </c>
      <c r="BC23" t="s">
        <v>3697</v>
      </c>
      <c r="BJ23" t="s">
        <v>3698</v>
      </c>
      <c r="BK23" t="s">
        <v>3699</v>
      </c>
      <c r="BL23" t="s">
        <v>3700</v>
      </c>
      <c r="BM23" t="s">
        <v>3701</v>
      </c>
      <c r="BN23" t="s">
        <v>3301</v>
      </c>
      <c r="BO23" t="s">
        <v>3702</v>
      </c>
      <c r="BR23" s="66"/>
      <c r="BT23" t="s">
        <v>3703</v>
      </c>
      <c r="BU23" t="s">
        <v>3704</v>
      </c>
      <c r="BV23" t="s">
        <v>3705</v>
      </c>
      <c r="BW23" t="s">
        <v>3706</v>
      </c>
      <c r="BX23" t="s">
        <v>1091</v>
      </c>
      <c r="BY23" s="74" t="s">
        <v>3498</v>
      </c>
      <c r="BZ23" t="s">
        <v>3664</v>
      </c>
      <c r="CA23" t="s">
        <v>3664</v>
      </c>
      <c r="CB23" t="s">
        <v>3686</v>
      </c>
      <c r="CC23" t="s">
        <v>3687</v>
      </c>
      <c r="CD23" t="s">
        <v>4567</v>
      </c>
      <c r="CE23" t="s">
        <v>4570</v>
      </c>
      <c r="CF23" t="s">
        <v>4846</v>
      </c>
      <c r="CG23" t="s">
        <v>4853</v>
      </c>
    </row>
    <row r="24" spans="1:85" x14ac:dyDescent="0.25">
      <c r="E24" t="s">
        <v>3709</v>
      </c>
      <c r="F24" t="s">
        <v>3710</v>
      </c>
      <c r="I24" t="s">
        <v>1121</v>
      </c>
      <c r="J24" t="s">
        <v>1121</v>
      </c>
      <c r="K24" t="s">
        <v>4393</v>
      </c>
      <c r="L24" s="74" t="s">
        <v>4393</v>
      </c>
      <c r="M24" s="74" t="s">
        <v>1235</v>
      </c>
      <c r="N24" s="74" t="s">
        <v>1234</v>
      </c>
      <c r="O24" s="74"/>
      <c r="P24" s="74"/>
      <c r="R24" s="9"/>
      <c r="S24" s="74"/>
      <c r="T24" s="74"/>
      <c r="U24" t="s">
        <v>3712</v>
      </c>
      <c r="V24" t="s">
        <v>3713</v>
      </c>
      <c r="W24" t="s">
        <v>3669</v>
      </c>
      <c r="X24" t="s">
        <v>2293</v>
      </c>
      <c r="Y24" t="s">
        <v>2293</v>
      </c>
      <c r="AF24" t="s">
        <v>3448</v>
      </c>
      <c r="AG24" t="s">
        <v>3449</v>
      </c>
      <c r="AH24" t="s">
        <v>2031</v>
      </c>
      <c r="AI24" t="s">
        <v>3640</v>
      </c>
      <c r="AJ24" t="s">
        <v>2037</v>
      </c>
      <c r="AK24" t="s">
        <v>2036</v>
      </c>
      <c r="AN24" t="s">
        <v>1949</v>
      </c>
      <c r="AO24" t="s">
        <v>3671</v>
      </c>
      <c r="AP24" t="s">
        <v>1498</v>
      </c>
      <c r="AQ24" s="9" t="s">
        <v>3652</v>
      </c>
      <c r="AR24" t="s">
        <v>1522</v>
      </c>
      <c r="AS24" t="s">
        <v>3672</v>
      </c>
      <c r="AT24" t="s">
        <v>1188</v>
      </c>
      <c r="AU24" t="s">
        <v>3474</v>
      </c>
      <c r="AV24" s="74" t="s">
        <v>1636</v>
      </c>
      <c r="AW24" s="74" t="s">
        <v>1636</v>
      </c>
      <c r="AX24" t="s">
        <v>2935</v>
      </c>
      <c r="AY24" s="3" t="s">
        <v>3385</v>
      </c>
      <c r="AZ24" t="s">
        <v>1949</v>
      </c>
      <c r="BA24" t="s">
        <v>3325</v>
      </c>
      <c r="BJ24" t="s">
        <v>3715</v>
      </c>
      <c r="BK24" t="s">
        <v>3716</v>
      </c>
      <c r="BL24" t="s">
        <v>3717</v>
      </c>
      <c r="BM24" t="s">
        <v>3718</v>
      </c>
      <c r="BN24" t="s">
        <v>3334</v>
      </c>
      <c r="BO24" t="s">
        <v>3719</v>
      </c>
      <c r="BT24" t="s">
        <v>3720</v>
      </c>
      <c r="BU24" t="s">
        <v>3721</v>
      </c>
      <c r="BV24" t="s">
        <v>3722</v>
      </c>
      <c r="BW24" t="s">
        <v>3723</v>
      </c>
      <c r="BX24" t="s">
        <v>3724</v>
      </c>
      <c r="BY24" t="s">
        <v>3725</v>
      </c>
      <c r="BZ24" t="s">
        <v>3685</v>
      </c>
      <c r="CA24" t="s">
        <v>3685</v>
      </c>
      <c r="CB24" t="s">
        <v>3252</v>
      </c>
      <c r="CC24" t="s">
        <v>3708</v>
      </c>
      <c r="CD24" t="s">
        <v>3521</v>
      </c>
      <c r="CE24" t="s">
        <v>3522</v>
      </c>
      <c r="CF24" t="s">
        <v>4916</v>
      </c>
      <c r="CG24" t="s">
        <v>4917</v>
      </c>
    </row>
    <row r="25" spans="1:85" ht="30" x14ac:dyDescent="0.25">
      <c r="E25" t="s">
        <v>3728</v>
      </c>
      <c r="F25" t="s">
        <v>3729</v>
      </c>
      <c r="I25" t="s">
        <v>1122</v>
      </c>
      <c r="J25" t="s">
        <v>1122</v>
      </c>
      <c r="K25" t="s">
        <v>1090</v>
      </c>
      <c r="L25" s="74" t="s">
        <v>3615</v>
      </c>
      <c r="M25" s="74" t="s">
        <v>3731</v>
      </c>
      <c r="N25" s="74" t="s">
        <v>3732</v>
      </c>
      <c r="O25" s="74"/>
      <c r="P25" s="74"/>
      <c r="R25" s="9"/>
      <c r="S25" s="74"/>
      <c r="T25" s="74"/>
      <c r="U25" t="s">
        <v>3733</v>
      </c>
      <c r="V25" t="s">
        <v>3734</v>
      </c>
      <c r="W25" t="s">
        <v>3239</v>
      </c>
      <c r="X25" t="s">
        <v>3712</v>
      </c>
      <c r="Y25" t="s">
        <v>3735</v>
      </c>
      <c r="AF25" t="s">
        <v>2014</v>
      </c>
      <c r="AG25" t="s">
        <v>2014</v>
      </c>
      <c r="AH25" t="s">
        <v>2035</v>
      </c>
      <c r="AI25" t="s">
        <v>3653</v>
      </c>
      <c r="AJ25" t="s">
        <v>4400</v>
      </c>
      <c r="AK25" t="s">
        <v>4400</v>
      </c>
      <c r="AN25" t="s">
        <v>1951</v>
      </c>
      <c r="AO25" t="s">
        <v>3277</v>
      </c>
      <c r="AP25" t="s">
        <v>1522</v>
      </c>
      <c r="AQ25" t="s">
        <v>3672</v>
      </c>
      <c r="AR25" t="s">
        <v>1525</v>
      </c>
      <c r="AS25" t="s">
        <v>1525</v>
      </c>
      <c r="AT25" t="s">
        <v>1767</v>
      </c>
      <c r="AU25" t="s">
        <v>3736</v>
      </c>
      <c r="AV25" s="74" t="s">
        <v>3411</v>
      </c>
      <c r="AW25" s="74" t="s">
        <v>3412</v>
      </c>
      <c r="AX25" t="s">
        <v>1951</v>
      </c>
      <c r="AY25" t="s">
        <v>3277</v>
      </c>
      <c r="AZ25" t="s">
        <v>1476</v>
      </c>
      <c r="BA25" t="s">
        <v>3420</v>
      </c>
      <c r="BJ25" t="s">
        <v>3737</v>
      </c>
      <c r="BK25" t="s">
        <v>3738</v>
      </c>
      <c r="BL25" t="s">
        <v>3739</v>
      </c>
      <c r="BM25" t="s">
        <v>3740</v>
      </c>
      <c r="BN25" t="s">
        <v>3357</v>
      </c>
      <c r="BO25" t="s">
        <v>3741</v>
      </c>
      <c r="BT25" t="s">
        <v>3742</v>
      </c>
      <c r="BU25" t="s">
        <v>3743</v>
      </c>
      <c r="BV25" t="s">
        <v>3744</v>
      </c>
      <c r="BW25" t="s">
        <v>3745</v>
      </c>
      <c r="BX25" t="s">
        <v>3746</v>
      </c>
      <c r="BY25" t="s">
        <v>3747</v>
      </c>
      <c r="BZ25" s="9" t="s">
        <v>3748</v>
      </c>
      <c r="CA25" s="9" t="s">
        <v>3748</v>
      </c>
      <c r="CB25" t="s">
        <v>2232</v>
      </c>
      <c r="CC25" t="s">
        <v>3727</v>
      </c>
      <c r="CF25" t="s">
        <v>3521</v>
      </c>
      <c r="CG25" t="s">
        <v>3522</v>
      </c>
    </row>
    <row r="26" spans="1:85" x14ac:dyDescent="0.25">
      <c r="K26" t="s">
        <v>1087</v>
      </c>
      <c r="L26" s="74" t="s">
        <v>3635</v>
      </c>
      <c r="M26" s="74" t="s">
        <v>3750</v>
      </c>
      <c r="N26" s="74" t="s">
        <v>3751</v>
      </c>
      <c r="O26" s="74"/>
      <c r="P26" s="74"/>
      <c r="R26" s="9"/>
      <c r="S26" s="74"/>
      <c r="T26" s="74"/>
      <c r="U26" t="s">
        <v>3752</v>
      </c>
      <c r="V26" t="s">
        <v>3753</v>
      </c>
      <c r="W26" t="s">
        <v>3248</v>
      </c>
      <c r="X26" t="s">
        <v>2450</v>
      </c>
      <c r="Y26" t="s">
        <v>2450</v>
      </c>
      <c r="AE26" s="77"/>
      <c r="AF26" t="s">
        <v>2029</v>
      </c>
      <c r="AG26" t="s">
        <v>2029</v>
      </c>
      <c r="AH26" t="s">
        <v>2037</v>
      </c>
      <c r="AI26" t="s">
        <v>2036</v>
      </c>
      <c r="AJ26" t="s">
        <v>2047</v>
      </c>
      <c r="AK26" t="s">
        <v>3714</v>
      </c>
      <c r="AN26" t="s">
        <v>1522</v>
      </c>
      <c r="AO26" t="s">
        <v>3672</v>
      </c>
      <c r="AP26" t="s">
        <v>1753</v>
      </c>
      <c r="AQ26" t="s">
        <v>1751</v>
      </c>
      <c r="AR26" t="s">
        <v>1527</v>
      </c>
      <c r="AS26" t="s">
        <v>1527</v>
      </c>
      <c r="AT26" t="s">
        <v>1870</v>
      </c>
      <c r="AU26" t="s">
        <v>3757</v>
      </c>
      <c r="AV26" s="74" t="s">
        <v>1215</v>
      </c>
      <c r="AW26" s="74" t="s">
        <v>3410</v>
      </c>
      <c r="AX26" t="s">
        <v>3758</v>
      </c>
      <c r="AY26" t="s">
        <v>3759</v>
      </c>
      <c r="AZ26" t="s">
        <v>910</v>
      </c>
      <c r="BA26" t="s">
        <v>3263</v>
      </c>
      <c r="BJ26" t="s">
        <v>3760</v>
      </c>
      <c r="BK26" t="s">
        <v>3761</v>
      </c>
      <c r="BL26" t="s">
        <v>3762</v>
      </c>
      <c r="BM26" t="s">
        <v>3763</v>
      </c>
      <c r="BN26" t="s">
        <v>3553</v>
      </c>
      <c r="BO26" t="s">
        <v>3764</v>
      </c>
      <c r="BT26" t="s">
        <v>3765</v>
      </c>
      <c r="BU26" t="s">
        <v>3766</v>
      </c>
      <c r="BV26" t="s">
        <v>3767</v>
      </c>
      <c r="BW26" t="s">
        <v>3768</v>
      </c>
      <c r="BX26" t="s">
        <v>3769</v>
      </c>
      <c r="BY26" t="s">
        <v>3770</v>
      </c>
      <c r="BZ26" t="s">
        <v>3771</v>
      </c>
      <c r="CA26" t="s">
        <v>3772</v>
      </c>
      <c r="CB26" t="s">
        <v>1983</v>
      </c>
      <c r="CC26" t="s">
        <v>3297</v>
      </c>
    </row>
    <row r="27" spans="1:85" ht="30" x14ac:dyDescent="0.25">
      <c r="A27" s="3"/>
      <c r="G27" s="3"/>
      <c r="H27" s="3"/>
      <c r="K27" t="s">
        <v>1089</v>
      </c>
      <c r="L27" s="74" t="s">
        <v>4435</v>
      </c>
      <c r="M27" t="s">
        <v>945</v>
      </c>
      <c r="N27" s="74" t="s">
        <v>3774</v>
      </c>
      <c r="O27" s="74"/>
      <c r="P27" s="74"/>
      <c r="R27" s="9"/>
      <c r="S27" s="74"/>
      <c r="T27" s="74"/>
      <c r="U27" t="s">
        <v>3575</v>
      </c>
      <c r="V27" t="s">
        <v>3775</v>
      </c>
      <c r="AE27" s="77"/>
      <c r="AF27" t="s">
        <v>2031</v>
      </c>
      <c r="AG27" t="s">
        <v>3640</v>
      </c>
      <c r="AH27" t="s">
        <v>4400</v>
      </c>
      <c r="AI27" t="s">
        <v>4400</v>
      </c>
      <c r="AJ27" s="3" t="s">
        <v>3284</v>
      </c>
      <c r="AK27" t="s">
        <v>3285</v>
      </c>
      <c r="AN27" t="s">
        <v>1542</v>
      </c>
      <c r="AO27" t="s">
        <v>1542</v>
      </c>
      <c r="AP27" t="s">
        <v>342</v>
      </c>
      <c r="AQ27" t="s">
        <v>3473</v>
      </c>
      <c r="AR27" t="s">
        <v>1531</v>
      </c>
      <c r="AS27" t="s">
        <v>1531</v>
      </c>
      <c r="AT27" t="s">
        <v>1842</v>
      </c>
      <c r="AU27" t="s">
        <v>3779</v>
      </c>
      <c r="AV27" s="3" t="s">
        <v>3258</v>
      </c>
      <c r="AW27" t="s">
        <v>3259</v>
      </c>
      <c r="AX27" t="s">
        <v>1949</v>
      </c>
      <c r="AY27" t="s">
        <v>3325</v>
      </c>
      <c r="AZ27" t="s">
        <v>1068</v>
      </c>
      <c r="BA27" t="s">
        <v>3289</v>
      </c>
      <c r="BJ27" t="s">
        <v>3780</v>
      </c>
      <c r="BK27" t="s">
        <v>3781</v>
      </c>
      <c r="BL27" t="s">
        <v>3782</v>
      </c>
      <c r="BM27" t="s">
        <v>3783</v>
      </c>
      <c r="BN27" t="s">
        <v>3577</v>
      </c>
      <c r="BO27" t="s">
        <v>3784</v>
      </c>
      <c r="BT27" t="s">
        <v>3785</v>
      </c>
      <c r="BU27" t="s">
        <v>3786</v>
      </c>
      <c r="BV27" t="s">
        <v>3787</v>
      </c>
      <c r="BW27" t="s">
        <v>3788</v>
      </c>
      <c r="BX27" t="s">
        <v>3789</v>
      </c>
      <c r="BY27" t="s">
        <v>3790</v>
      </c>
      <c r="BZ27" t="s">
        <v>2602</v>
      </c>
      <c r="CA27" t="s">
        <v>3300</v>
      </c>
      <c r="CB27" t="s">
        <v>4830</v>
      </c>
      <c r="CC27" t="s">
        <v>4831</v>
      </c>
    </row>
    <row r="28" spans="1:85" x14ac:dyDescent="0.25">
      <c r="A28" s="3"/>
      <c r="F28" s="3"/>
      <c r="G28" s="3"/>
      <c r="H28" s="3"/>
      <c r="K28" t="s">
        <v>1088</v>
      </c>
      <c r="L28" s="74" t="s">
        <v>3667</v>
      </c>
      <c r="M28" s="74" t="s">
        <v>3792</v>
      </c>
      <c r="N28" s="74" t="s">
        <v>3793</v>
      </c>
      <c r="O28" s="74"/>
      <c r="P28" s="74"/>
      <c r="R28" s="9"/>
      <c r="S28" s="74"/>
      <c r="T28" s="74"/>
      <c r="U28" t="s">
        <v>3550</v>
      </c>
      <c r="V28" t="s">
        <v>3794</v>
      </c>
      <c r="AE28" s="77"/>
      <c r="AF28" t="s">
        <v>2035</v>
      </c>
      <c r="AG28" t="s">
        <v>3653</v>
      </c>
      <c r="AH28" t="s">
        <v>2047</v>
      </c>
      <c r="AI28" t="s">
        <v>3714</v>
      </c>
      <c r="AJ28" s="3" t="s">
        <v>3754</v>
      </c>
      <c r="AK28" t="s">
        <v>3755</v>
      </c>
      <c r="AN28" t="s">
        <v>1561</v>
      </c>
      <c r="AO28" t="s">
        <v>1561</v>
      </c>
      <c r="AP28" t="s">
        <v>54</v>
      </c>
      <c r="AQ28" t="s">
        <v>3756</v>
      </c>
      <c r="AR28" t="s">
        <v>1537</v>
      </c>
      <c r="AS28" t="s">
        <v>1537</v>
      </c>
      <c r="AT28" t="s">
        <v>3378</v>
      </c>
      <c r="AU28" t="s">
        <v>3799</v>
      </c>
      <c r="AV28" s="3" t="s">
        <v>3309</v>
      </c>
      <c r="AW28" t="s">
        <v>3310</v>
      </c>
      <c r="AX28" t="s">
        <v>1476</v>
      </c>
      <c r="AY28" t="s">
        <v>3420</v>
      </c>
      <c r="AZ28" t="s">
        <v>3565</v>
      </c>
      <c r="BA28" t="s">
        <v>3566</v>
      </c>
      <c r="BJ28" t="s">
        <v>3800</v>
      </c>
      <c r="BK28" t="s">
        <v>3801</v>
      </c>
      <c r="BL28" t="s">
        <v>3802</v>
      </c>
      <c r="BM28" t="s">
        <v>3803</v>
      </c>
      <c r="BN28" t="s">
        <v>3696</v>
      </c>
      <c r="BO28" t="s">
        <v>3804</v>
      </c>
      <c r="BT28" t="s">
        <v>3805</v>
      </c>
      <c r="BU28" t="s">
        <v>3806</v>
      </c>
      <c r="BV28" t="s">
        <v>3807</v>
      </c>
      <c r="BW28" t="s">
        <v>3808</v>
      </c>
      <c r="BX28" t="s">
        <v>3809</v>
      </c>
      <c r="BY28" s="9" t="s">
        <v>3810</v>
      </c>
      <c r="BZ28" t="s">
        <v>3258</v>
      </c>
      <c r="CA28" t="s">
        <v>3259</v>
      </c>
      <c r="CB28" t="s">
        <v>3284</v>
      </c>
      <c r="CC28" t="s">
        <v>3285</v>
      </c>
      <c r="CD28" s="109"/>
    </row>
    <row r="29" spans="1:85" x14ac:dyDescent="0.25">
      <c r="F29" s="3"/>
      <c r="G29" s="3"/>
      <c r="H29" s="3"/>
      <c r="K29" t="s">
        <v>1092</v>
      </c>
      <c r="L29" s="74" t="s">
        <v>3690</v>
      </c>
      <c r="M29" s="74" t="s">
        <v>1237</v>
      </c>
      <c r="N29" s="74" t="s">
        <v>3812</v>
      </c>
      <c r="O29" s="74"/>
      <c r="P29" s="74"/>
      <c r="R29" s="9"/>
      <c r="S29" s="74"/>
      <c r="T29" s="74"/>
      <c r="U29" t="s">
        <v>3813</v>
      </c>
      <c r="V29" t="s">
        <v>3814</v>
      </c>
      <c r="AF29" t="s">
        <v>2037</v>
      </c>
      <c r="AG29" t="s">
        <v>2036</v>
      </c>
      <c r="AH29" s="3" t="s">
        <v>3284</v>
      </c>
      <c r="AI29" t="s">
        <v>3285</v>
      </c>
      <c r="AJ29" s="3" t="s">
        <v>3776</v>
      </c>
      <c r="AK29" t="s">
        <v>3777</v>
      </c>
      <c r="AN29" t="s">
        <v>4509</v>
      </c>
      <c r="AO29" t="s">
        <v>4537</v>
      </c>
      <c r="AP29" t="s">
        <v>346</v>
      </c>
      <c r="AQ29" t="s">
        <v>3778</v>
      </c>
      <c r="AR29" t="s">
        <v>1539</v>
      </c>
      <c r="AS29" t="s">
        <v>1539</v>
      </c>
      <c r="AT29" t="s">
        <v>1476</v>
      </c>
      <c r="AU29" t="s">
        <v>3420</v>
      </c>
      <c r="AV29" s="74"/>
      <c r="AW29" s="74"/>
      <c r="AX29" t="s">
        <v>910</v>
      </c>
      <c r="AY29" t="s">
        <v>3263</v>
      </c>
      <c r="AZ29" t="s">
        <v>1185</v>
      </c>
      <c r="BA29" t="s">
        <v>4432</v>
      </c>
      <c r="BJ29" t="s">
        <v>3820</v>
      </c>
      <c r="BK29" t="s">
        <v>3821</v>
      </c>
      <c r="BL29" t="s">
        <v>3822</v>
      </c>
      <c r="BM29" t="s">
        <v>3823</v>
      </c>
      <c r="BN29" t="s">
        <v>3824</v>
      </c>
      <c r="BO29" t="s">
        <v>3825</v>
      </c>
      <c r="BT29" t="s">
        <v>3826</v>
      </c>
      <c r="BU29" t="s">
        <v>3827</v>
      </c>
      <c r="BV29" t="s">
        <v>3828</v>
      </c>
      <c r="BW29" t="s">
        <v>3829</v>
      </c>
      <c r="BX29" t="s">
        <v>3830</v>
      </c>
      <c r="BY29" s="9" t="s">
        <v>3831</v>
      </c>
      <c r="BZ29" t="s">
        <v>3707</v>
      </c>
      <c r="CA29" t="s">
        <v>3707</v>
      </c>
      <c r="CB29" s="3" t="s">
        <v>3754</v>
      </c>
      <c r="CC29" t="s">
        <v>3755</v>
      </c>
      <c r="CG29" s="74"/>
    </row>
    <row r="30" spans="1:85" x14ac:dyDescent="0.25">
      <c r="F30" s="3"/>
      <c r="K30" t="s">
        <v>946</v>
      </c>
      <c r="L30" t="s">
        <v>3711</v>
      </c>
      <c r="M30" s="74" t="s">
        <v>1244</v>
      </c>
      <c r="N30" s="74" t="s">
        <v>1240</v>
      </c>
      <c r="O30" s="74"/>
      <c r="P30" s="74"/>
      <c r="S30" s="74"/>
      <c r="T30" s="74"/>
      <c r="U30" t="s">
        <v>3833</v>
      </c>
      <c r="V30" t="s">
        <v>3834</v>
      </c>
      <c r="AE30" s="77"/>
      <c r="AF30" t="s">
        <v>4400</v>
      </c>
      <c r="AG30" t="s">
        <v>4400</v>
      </c>
      <c r="AH30" s="3" t="s">
        <v>3754</v>
      </c>
      <c r="AI30" t="s">
        <v>3755</v>
      </c>
      <c r="AJ30" s="3" t="s">
        <v>3795</v>
      </c>
      <c r="AK30" t="s">
        <v>3796</v>
      </c>
      <c r="AN30" t="s">
        <v>1562</v>
      </c>
      <c r="AO30" t="s">
        <v>1562</v>
      </c>
      <c r="AP30" t="s">
        <v>3797</v>
      </c>
      <c r="AQ30" t="s">
        <v>3798</v>
      </c>
      <c r="AR30" t="s">
        <v>1541</v>
      </c>
      <c r="AS30" t="s">
        <v>1541</v>
      </c>
      <c r="AT30" t="s">
        <v>3838</v>
      </c>
      <c r="AU30" t="s">
        <v>3839</v>
      </c>
      <c r="AX30" t="s">
        <v>1068</v>
      </c>
      <c r="AY30" t="s">
        <v>3289</v>
      </c>
      <c r="AZ30" t="s">
        <v>2430</v>
      </c>
      <c r="BA30" t="s">
        <v>3819</v>
      </c>
      <c r="BJ30" t="s">
        <v>3842</v>
      </c>
      <c r="BK30" t="s">
        <v>3843</v>
      </c>
      <c r="BL30" t="s">
        <v>3844</v>
      </c>
      <c r="BM30" t="s">
        <v>3845</v>
      </c>
      <c r="BN30" t="s">
        <v>3846</v>
      </c>
      <c r="BO30" t="s">
        <v>3847</v>
      </c>
      <c r="BT30" t="s">
        <v>3848</v>
      </c>
      <c r="BU30" t="s">
        <v>3849</v>
      </c>
      <c r="BV30" t="s">
        <v>3850</v>
      </c>
      <c r="BW30" t="s">
        <v>3851</v>
      </c>
      <c r="BX30" t="s">
        <v>3852</v>
      </c>
      <c r="BY30" t="s">
        <v>3853</v>
      </c>
      <c r="BZ30" t="s">
        <v>5036</v>
      </c>
      <c r="CA30" t="s">
        <v>5042</v>
      </c>
      <c r="CB30" s="3" t="s">
        <v>3776</v>
      </c>
      <c r="CC30" t="s">
        <v>3777</v>
      </c>
      <c r="CF30" s="74"/>
      <c r="CG30" s="74"/>
    </row>
    <row r="31" spans="1:85" x14ac:dyDescent="0.25">
      <c r="K31" t="s">
        <v>948</v>
      </c>
      <c r="L31" s="74" t="s">
        <v>3730</v>
      </c>
      <c r="M31" s="74" t="s">
        <v>1246</v>
      </c>
      <c r="N31" s="74" t="s">
        <v>1245</v>
      </c>
      <c r="O31" s="74"/>
      <c r="P31" s="74"/>
      <c r="S31" s="74"/>
      <c r="T31" s="74"/>
      <c r="U31" t="s">
        <v>2286</v>
      </c>
      <c r="V31" t="s">
        <v>3854</v>
      </c>
      <c r="AE31" s="77"/>
      <c r="AF31" t="s">
        <v>2047</v>
      </c>
      <c r="AG31" t="s">
        <v>3714</v>
      </c>
      <c r="AH31" s="3" t="s">
        <v>3776</v>
      </c>
      <c r="AI31" t="s">
        <v>3777</v>
      </c>
      <c r="AJ31" s="3" t="s">
        <v>3816</v>
      </c>
      <c r="AK31" t="s">
        <v>3817</v>
      </c>
      <c r="AN31" t="s">
        <v>4510</v>
      </c>
      <c r="AO31" t="s">
        <v>4538</v>
      </c>
      <c r="AP31" t="s">
        <v>1758</v>
      </c>
      <c r="AQ31" t="s">
        <v>3818</v>
      </c>
      <c r="AR31" t="s">
        <v>1836</v>
      </c>
      <c r="AS31" t="s">
        <v>1836</v>
      </c>
      <c r="AT31" t="s">
        <v>1527</v>
      </c>
      <c r="AU31" t="s">
        <v>1527</v>
      </c>
      <c r="AX31" t="s">
        <v>3565</v>
      </c>
      <c r="AY31" t="s">
        <v>3566</v>
      </c>
      <c r="AZ31" t="s">
        <v>3840</v>
      </c>
      <c r="BA31" t="s">
        <v>3841</v>
      </c>
      <c r="BJ31" t="s">
        <v>3858</v>
      </c>
      <c r="BK31" t="s">
        <v>3859</v>
      </c>
      <c r="BL31" t="s">
        <v>3860</v>
      </c>
      <c r="BM31" t="s">
        <v>3861</v>
      </c>
      <c r="BN31" t="s">
        <v>3862</v>
      </c>
      <c r="BO31" t="s">
        <v>3863</v>
      </c>
      <c r="BT31" t="s">
        <v>3864</v>
      </c>
      <c r="BU31" t="s">
        <v>3865</v>
      </c>
      <c r="BV31" t="s">
        <v>3402</v>
      </c>
      <c r="BW31" t="s">
        <v>3403</v>
      </c>
      <c r="BX31" t="s">
        <v>3866</v>
      </c>
      <c r="BY31" t="s">
        <v>3867</v>
      </c>
      <c r="BZ31" t="s">
        <v>5037</v>
      </c>
      <c r="CA31" t="s">
        <v>5043</v>
      </c>
      <c r="CB31" s="3" t="s">
        <v>3795</v>
      </c>
      <c r="CC31" t="s">
        <v>3796</v>
      </c>
    </row>
    <row r="32" spans="1:85" x14ac:dyDescent="0.25">
      <c r="K32" t="s">
        <v>1111</v>
      </c>
      <c r="L32" s="74" t="s">
        <v>3749</v>
      </c>
      <c r="M32" s="74" t="s">
        <v>1251</v>
      </c>
      <c r="N32" s="74" t="s">
        <v>1247</v>
      </c>
      <c r="O32" s="74"/>
      <c r="P32" s="74"/>
      <c r="R32" s="12"/>
      <c r="S32" s="74"/>
      <c r="T32" s="74"/>
      <c r="U32" t="s">
        <v>2265</v>
      </c>
      <c r="V32" t="s">
        <v>3871</v>
      </c>
      <c r="X32" s="77"/>
      <c r="AE32" s="77"/>
      <c r="AF32" t="s">
        <v>2939</v>
      </c>
      <c r="AG32" t="s">
        <v>3815</v>
      </c>
      <c r="AH32" s="3" t="s">
        <v>3795</v>
      </c>
      <c r="AI32" t="s">
        <v>3796</v>
      </c>
      <c r="AJ32" s="3" t="s">
        <v>3258</v>
      </c>
      <c r="AK32" t="s">
        <v>3259</v>
      </c>
      <c r="AN32" t="s">
        <v>1563</v>
      </c>
      <c r="AO32" t="s">
        <v>1563</v>
      </c>
      <c r="AP32" t="s">
        <v>343</v>
      </c>
      <c r="AQ32" t="s">
        <v>3837</v>
      </c>
      <c r="AR32" t="s">
        <v>1838</v>
      </c>
      <c r="AS32" t="s">
        <v>1838</v>
      </c>
      <c r="AT32" t="s">
        <v>1531</v>
      </c>
      <c r="AU32" t="s">
        <v>1530</v>
      </c>
      <c r="AX32" t="s">
        <v>1185</v>
      </c>
      <c r="AY32" t="s">
        <v>4432</v>
      </c>
      <c r="AZ32" t="s">
        <v>3391</v>
      </c>
      <c r="BA32" t="s">
        <v>3392</v>
      </c>
      <c r="BB32" s="66"/>
      <c r="BJ32" t="s">
        <v>3877</v>
      </c>
      <c r="BK32" t="s">
        <v>3878</v>
      </c>
      <c r="BL32" t="s">
        <v>3879</v>
      </c>
      <c r="BM32" t="s">
        <v>3880</v>
      </c>
      <c r="BN32" t="s">
        <v>3600</v>
      </c>
      <c r="BO32" t="s">
        <v>3881</v>
      </c>
      <c r="BT32" t="s">
        <v>3882</v>
      </c>
      <c r="BU32" t="s">
        <v>3883</v>
      </c>
      <c r="BV32" t="s">
        <v>3884</v>
      </c>
      <c r="BW32" s="9" t="s">
        <v>3885</v>
      </c>
      <c r="BX32" t="s">
        <v>3521</v>
      </c>
      <c r="BY32" t="s">
        <v>3522</v>
      </c>
      <c r="BZ32" t="s">
        <v>5044</v>
      </c>
      <c r="CA32" s="9" t="s">
        <v>5049</v>
      </c>
      <c r="CB32" s="3" t="s">
        <v>3816</v>
      </c>
      <c r="CC32" t="s">
        <v>3817</v>
      </c>
    </row>
    <row r="33" spans="6:85" x14ac:dyDescent="0.25">
      <c r="I33" s="77"/>
      <c r="J33" s="77"/>
      <c r="K33" t="s">
        <v>1113</v>
      </c>
      <c r="L33" s="74" t="s">
        <v>3773</v>
      </c>
      <c r="M33" s="74" t="s">
        <v>1253</v>
      </c>
      <c r="N33" s="74" t="s">
        <v>1252</v>
      </c>
      <c r="O33" s="74"/>
      <c r="P33" s="74"/>
      <c r="R33" s="12"/>
      <c r="S33" s="74"/>
      <c r="T33" s="74"/>
      <c r="U33" t="s">
        <v>3692</v>
      </c>
      <c r="V33" t="s">
        <v>3693</v>
      </c>
      <c r="X33" s="77"/>
      <c r="Z33" s="77"/>
      <c r="AA33" s="77"/>
      <c r="AD33" s="77"/>
      <c r="AE33" s="77"/>
      <c r="AF33" t="s">
        <v>3835</v>
      </c>
      <c r="AG33" t="s">
        <v>3836</v>
      </c>
      <c r="AH33" s="3" t="s">
        <v>3816</v>
      </c>
      <c r="AI33" t="s">
        <v>3817</v>
      </c>
      <c r="AJ33" s="3" t="s">
        <v>3309</v>
      </c>
      <c r="AK33" t="s">
        <v>3310</v>
      </c>
      <c r="AN33" t="s">
        <v>4511</v>
      </c>
      <c r="AO33" t="s">
        <v>4539</v>
      </c>
      <c r="AP33" t="s">
        <v>344</v>
      </c>
      <c r="AQ33" t="s">
        <v>3857</v>
      </c>
      <c r="AR33" t="s">
        <v>1840</v>
      </c>
      <c r="AS33" t="s">
        <v>1840</v>
      </c>
      <c r="AT33" t="s">
        <v>1537</v>
      </c>
      <c r="AU33" t="s">
        <v>1537</v>
      </c>
      <c r="AV33" s="74"/>
      <c r="AW33" s="74"/>
      <c r="AX33" t="s">
        <v>2430</v>
      </c>
      <c r="AY33" t="s">
        <v>3819</v>
      </c>
      <c r="AZ33" t="s">
        <v>3875</v>
      </c>
      <c r="BA33" t="s">
        <v>3876</v>
      </c>
      <c r="BJ33" t="s">
        <v>3894</v>
      </c>
      <c r="BK33" t="s">
        <v>3895</v>
      </c>
      <c r="BL33" t="s">
        <v>3896</v>
      </c>
      <c r="BM33" t="s">
        <v>3897</v>
      </c>
      <c r="BN33" t="s">
        <v>3619</v>
      </c>
      <c r="BO33" t="s">
        <v>3898</v>
      </c>
      <c r="BT33" t="s">
        <v>3899</v>
      </c>
      <c r="BU33" t="s">
        <v>3900</v>
      </c>
      <c r="BV33" t="s">
        <v>3901</v>
      </c>
      <c r="BW33" s="9" t="s">
        <v>3902</v>
      </c>
      <c r="BX33" t="s">
        <v>3903</v>
      </c>
      <c r="BY33" t="s">
        <v>3904</v>
      </c>
      <c r="BZ33" t="s">
        <v>5045</v>
      </c>
      <c r="CA33" t="s">
        <v>5050</v>
      </c>
      <c r="CB33" t="s">
        <v>3869</v>
      </c>
      <c r="CC33" t="s">
        <v>3870</v>
      </c>
    </row>
    <row r="34" spans="6:85" x14ac:dyDescent="0.25">
      <c r="I34" s="77"/>
      <c r="J34" s="77"/>
      <c r="K34" t="s">
        <v>1095</v>
      </c>
      <c r="L34" s="74" t="s">
        <v>3791</v>
      </c>
      <c r="M34" s="74" t="s">
        <v>1255</v>
      </c>
      <c r="N34" s="74" t="s">
        <v>1254</v>
      </c>
      <c r="O34" s="74"/>
      <c r="P34" s="74"/>
      <c r="S34" s="74"/>
      <c r="T34" s="74"/>
      <c r="U34" t="s">
        <v>2292</v>
      </c>
      <c r="V34" t="s">
        <v>3906</v>
      </c>
      <c r="X34" s="77"/>
      <c r="Z34" s="77"/>
      <c r="AA34" s="77"/>
      <c r="AB34" s="77"/>
      <c r="AC34" s="77"/>
      <c r="AD34" s="77"/>
      <c r="AE34" s="77"/>
      <c r="AF34" t="s">
        <v>3855</v>
      </c>
      <c r="AG34" t="s">
        <v>3856</v>
      </c>
      <c r="AH34" s="3" t="s">
        <v>3258</v>
      </c>
      <c r="AI34" t="s">
        <v>3259</v>
      </c>
      <c r="AJ34" s="3" t="s">
        <v>1983</v>
      </c>
      <c r="AK34" s="3" t="s">
        <v>3297</v>
      </c>
      <c r="AN34" t="s">
        <v>1564</v>
      </c>
      <c r="AO34" t="s">
        <v>1564</v>
      </c>
      <c r="AP34" t="s">
        <v>4508</v>
      </c>
      <c r="AQ34" t="s">
        <v>4507</v>
      </c>
      <c r="AR34" t="s">
        <v>1842</v>
      </c>
      <c r="AS34" t="s">
        <v>1842</v>
      </c>
      <c r="AT34" t="s">
        <v>1539</v>
      </c>
      <c r="AU34" t="s">
        <v>1539</v>
      </c>
      <c r="AV34" s="74"/>
      <c r="AW34" s="74"/>
      <c r="AX34" t="s">
        <v>3840</v>
      </c>
      <c r="AY34" t="s">
        <v>3841</v>
      </c>
      <c r="AZ34" t="s">
        <v>3892</v>
      </c>
      <c r="BA34" t="s">
        <v>3893</v>
      </c>
      <c r="BJ34" t="s">
        <v>3910</v>
      </c>
      <c r="BK34" t="s">
        <v>3911</v>
      </c>
      <c r="BN34" t="s">
        <v>3912</v>
      </c>
      <c r="BO34" t="s">
        <v>3913</v>
      </c>
      <c r="BT34" t="s">
        <v>3914</v>
      </c>
      <c r="BU34" t="s">
        <v>3915</v>
      </c>
      <c r="BV34" t="s">
        <v>3916</v>
      </c>
      <c r="BW34" s="9" t="s">
        <v>3917</v>
      </c>
      <c r="BX34" t="s">
        <v>3918</v>
      </c>
      <c r="BY34" t="s">
        <v>3919</v>
      </c>
      <c r="BZ34" t="s">
        <v>5046</v>
      </c>
      <c r="CA34" t="s">
        <v>5051</v>
      </c>
      <c r="CB34" t="s">
        <v>3886</v>
      </c>
      <c r="CC34" t="s">
        <v>3887</v>
      </c>
      <c r="CG34" s="74"/>
    </row>
    <row r="35" spans="6:85" x14ac:dyDescent="0.25">
      <c r="I35" s="77"/>
      <c r="J35" s="77"/>
      <c r="K35" t="s">
        <v>30</v>
      </c>
      <c r="L35" s="74" t="s">
        <v>3811</v>
      </c>
      <c r="M35" s="74" t="s">
        <v>1257</v>
      </c>
      <c r="N35" s="74" t="s">
        <v>1256</v>
      </c>
      <c r="O35" s="74"/>
      <c r="P35" s="74"/>
      <c r="S35" s="74"/>
      <c r="T35" s="74"/>
      <c r="U35" t="s">
        <v>2293</v>
      </c>
      <c r="V35" t="s">
        <v>2293</v>
      </c>
      <c r="X35" s="77"/>
      <c r="Z35" s="77"/>
      <c r="AA35" s="77"/>
      <c r="AB35" s="77"/>
      <c r="AC35" s="77"/>
      <c r="AD35" s="77"/>
      <c r="AF35" t="s">
        <v>3872</v>
      </c>
      <c r="AG35" t="s">
        <v>3873</v>
      </c>
      <c r="AH35" s="3" t="s">
        <v>3309</v>
      </c>
      <c r="AI35" t="s">
        <v>3310</v>
      </c>
      <c r="AN35" t="s">
        <v>1552</v>
      </c>
      <c r="AO35" t="s">
        <v>1552</v>
      </c>
      <c r="AP35" t="s">
        <v>345</v>
      </c>
      <c r="AQ35" t="s">
        <v>3874</v>
      </c>
      <c r="AR35" t="s">
        <v>1844</v>
      </c>
      <c r="AS35" t="s">
        <v>1844</v>
      </c>
      <c r="AT35" t="s">
        <v>3448</v>
      </c>
      <c r="AU35" t="s">
        <v>3449</v>
      </c>
      <c r="AV35" s="74"/>
      <c r="AW35" s="74"/>
      <c r="AX35" t="s">
        <v>3391</v>
      </c>
      <c r="AY35" t="s">
        <v>3392</v>
      </c>
      <c r="AZ35" t="s">
        <v>3908</v>
      </c>
      <c r="BA35" t="s">
        <v>3909</v>
      </c>
      <c r="BJ35" t="s">
        <v>3923</v>
      </c>
      <c r="BK35" t="s">
        <v>3924</v>
      </c>
      <c r="BN35" t="s">
        <v>3925</v>
      </c>
      <c r="BO35" t="s">
        <v>3926</v>
      </c>
      <c r="BT35" t="s">
        <v>3927</v>
      </c>
      <c r="BU35" t="s">
        <v>3928</v>
      </c>
      <c r="BV35" t="s">
        <v>3929</v>
      </c>
      <c r="BW35" s="9" t="s">
        <v>3930</v>
      </c>
      <c r="BX35" t="s">
        <v>3931</v>
      </c>
      <c r="BY35" t="s">
        <v>3932</v>
      </c>
      <c r="BZ35" t="s">
        <v>5048</v>
      </c>
      <c r="CA35" t="s">
        <v>5052</v>
      </c>
      <c r="CB35" t="s">
        <v>2424</v>
      </c>
      <c r="CC35" t="s">
        <v>3355</v>
      </c>
      <c r="CF35" s="74"/>
      <c r="CG35" s="74"/>
    </row>
    <row r="36" spans="6:85" ht="30" x14ac:dyDescent="0.25">
      <c r="I36" s="77"/>
      <c r="J36" s="77"/>
      <c r="K36" t="s">
        <v>1098</v>
      </c>
      <c r="L36" s="74" t="s">
        <v>3832</v>
      </c>
      <c r="M36" s="74" t="s">
        <v>1259</v>
      </c>
      <c r="N36" s="74" t="s">
        <v>1258</v>
      </c>
      <c r="O36" s="74"/>
      <c r="P36" s="74"/>
      <c r="S36" s="74"/>
      <c r="T36" s="74"/>
      <c r="U36" t="s">
        <v>2279</v>
      </c>
      <c r="V36" t="s">
        <v>3934</v>
      </c>
      <c r="X36" s="77"/>
      <c r="Z36" s="77"/>
      <c r="AA36" s="77"/>
      <c r="AB36" s="77"/>
      <c r="AC36" s="77"/>
      <c r="AD36" s="77"/>
      <c r="AE36" s="77"/>
      <c r="AF36" t="s">
        <v>3889</v>
      </c>
      <c r="AG36" t="s">
        <v>3890</v>
      </c>
      <c r="AL36" s="77"/>
      <c r="AM36" s="77"/>
      <c r="AN36" t="s">
        <v>1554</v>
      </c>
      <c r="AO36" t="s">
        <v>1554</v>
      </c>
      <c r="AP36" t="s">
        <v>1762</v>
      </c>
      <c r="AQ36" t="s">
        <v>3891</v>
      </c>
      <c r="AR36" t="s">
        <v>1846</v>
      </c>
      <c r="AS36" t="s">
        <v>1846</v>
      </c>
      <c r="AT36" t="s">
        <v>2031</v>
      </c>
      <c r="AU36" t="s">
        <v>3640</v>
      </c>
      <c r="AV36" s="74"/>
      <c r="AW36" s="74"/>
      <c r="AX36" s="3" t="s">
        <v>3754</v>
      </c>
      <c r="AY36" t="s">
        <v>3755</v>
      </c>
      <c r="AZ36" t="s">
        <v>3717</v>
      </c>
      <c r="BA36" t="s">
        <v>3922</v>
      </c>
      <c r="BJ36" t="s">
        <v>3362</v>
      </c>
      <c r="BK36" t="s">
        <v>3938</v>
      </c>
      <c r="BN36" t="s">
        <v>3939</v>
      </c>
      <c r="BO36" t="s">
        <v>3940</v>
      </c>
      <c r="BV36" t="s">
        <v>3941</v>
      </c>
      <c r="BW36" s="9" t="s">
        <v>3942</v>
      </c>
      <c r="BX36" t="s">
        <v>3943</v>
      </c>
      <c r="BY36" t="s">
        <v>3944</v>
      </c>
      <c r="BZ36" t="s">
        <v>5038</v>
      </c>
      <c r="CA36" t="s">
        <v>5047</v>
      </c>
      <c r="CF36" s="74"/>
      <c r="CG36" s="74"/>
    </row>
    <row r="37" spans="6:85" x14ac:dyDescent="0.25">
      <c r="G37" s="3"/>
      <c r="H37" s="3"/>
      <c r="I37" s="77"/>
      <c r="J37" s="77"/>
      <c r="K37" t="s">
        <v>1081</v>
      </c>
      <c r="L37" t="s">
        <v>3614</v>
      </c>
      <c r="M37" s="74" t="s">
        <v>1261</v>
      </c>
      <c r="N37" s="74" t="s">
        <v>1260</v>
      </c>
      <c r="O37" s="77"/>
      <c r="P37" s="77"/>
      <c r="S37" s="74"/>
      <c r="T37" s="74"/>
      <c r="U37" t="s">
        <v>2278</v>
      </c>
      <c r="V37" t="s">
        <v>3945</v>
      </c>
      <c r="X37" s="77"/>
      <c r="Z37" s="77"/>
      <c r="AA37" s="77"/>
      <c r="AB37" s="77"/>
      <c r="AC37" s="77"/>
      <c r="AD37" s="77"/>
      <c r="AE37" s="77"/>
      <c r="AF37" s="3" t="s">
        <v>3284</v>
      </c>
      <c r="AG37" t="s">
        <v>3285</v>
      </c>
      <c r="AN37" t="s">
        <v>1566</v>
      </c>
      <c r="AO37" t="s">
        <v>1566</v>
      </c>
      <c r="AP37" t="s">
        <v>1767</v>
      </c>
      <c r="AQ37" t="s">
        <v>3907</v>
      </c>
      <c r="AR37" t="s">
        <v>1848</v>
      </c>
      <c r="AS37" t="s">
        <v>1848</v>
      </c>
      <c r="AT37" t="s">
        <v>2764</v>
      </c>
      <c r="AU37" t="s">
        <v>3947</v>
      </c>
      <c r="AV37" s="74"/>
      <c r="AW37" s="74"/>
      <c r="AX37" s="3" t="s">
        <v>3776</v>
      </c>
      <c r="AY37" t="s">
        <v>3777</v>
      </c>
      <c r="AZ37" t="s">
        <v>3936</v>
      </c>
      <c r="BA37" t="s">
        <v>3937</v>
      </c>
      <c r="BJ37" t="s">
        <v>3950</v>
      </c>
      <c r="BK37" t="s">
        <v>3951</v>
      </c>
      <c r="BN37" t="s">
        <v>3952</v>
      </c>
      <c r="BO37" t="s">
        <v>3953</v>
      </c>
      <c r="BT37" t="s">
        <v>2650</v>
      </c>
      <c r="BU37" t="s">
        <v>3954</v>
      </c>
      <c r="BV37" t="s">
        <v>3955</v>
      </c>
      <c r="BW37" s="9" t="s">
        <v>3956</v>
      </c>
      <c r="BX37" t="s">
        <v>3957</v>
      </c>
      <c r="BY37" s="9" t="s">
        <v>3958</v>
      </c>
      <c r="BZ37" t="s">
        <v>5039</v>
      </c>
      <c r="CA37" t="s">
        <v>5053</v>
      </c>
      <c r="CF37" s="74"/>
      <c r="CG37" s="74"/>
    </row>
    <row r="38" spans="6:85" x14ac:dyDescent="0.25">
      <c r="F38" s="3"/>
      <c r="I38" s="77"/>
      <c r="J38" s="77"/>
      <c r="K38" t="s">
        <v>1137</v>
      </c>
      <c r="L38" s="74" t="s">
        <v>3593</v>
      </c>
      <c r="M38" s="74" t="s">
        <v>1263</v>
      </c>
      <c r="N38" s="74" t="s">
        <v>1262</v>
      </c>
      <c r="S38" s="77"/>
      <c r="T38" s="77"/>
      <c r="U38" t="s">
        <v>3959</v>
      </c>
      <c r="V38" t="s">
        <v>3960</v>
      </c>
      <c r="X38" s="77"/>
      <c r="Z38" s="77"/>
      <c r="AA38" s="77"/>
      <c r="AB38" s="77"/>
      <c r="AC38" s="77"/>
      <c r="AD38" s="77"/>
      <c r="AE38" s="77"/>
      <c r="AF38" s="3" t="s">
        <v>3754</v>
      </c>
      <c r="AG38" t="s">
        <v>3755</v>
      </c>
      <c r="AL38" s="77"/>
      <c r="AN38" t="s">
        <v>1567</v>
      </c>
      <c r="AO38" t="s">
        <v>1567</v>
      </c>
      <c r="AP38" t="s">
        <v>1770</v>
      </c>
      <c r="AQ38" t="s">
        <v>3921</v>
      </c>
      <c r="AR38" t="s">
        <v>1850</v>
      </c>
      <c r="AS38" t="s">
        <v>1850</v>
      </c>
      <c r="AT38" t="s">
        <v>3284</v>
      </c>
      <c r="AU38" t="s">
        <v>3285</v>
      </c>
      <c r="AV38" s="74"/>
      <c r="AW38" s="74"/>
      <c r="AX38" s="3" t="s">
        <v>3795</v>
      </c>
      <c r="AY38" t="s">
        <v>3796</v>
      </c>
      <c r="AZ38" t="s">
        <v>3948</v>
      </c>
      <c r="BA38" t="s">
        <v>3949</v>
      </c>
      <c r="BJ38" t="s">
        <v>3962</v>
      </c>
      <c r="BK38" t="s">
        <v>3963</v>
      </c>
      <c r="BN38" t="s">
        <v>2608</v>
      </c>
      <c r="BO38" t="s">
        <v>3964</v>
      </c>
      <c r="BT38" t="s">
        <v>3965</v>
      </c>
      <c r="BU38" t="s">
        <v>3966</v>
      </c>
      <c r="BV38" t="s">
        <v>3967</v>
      </c>
      <c r="BW38" s="9" t="s">
        <v>3968</v>
      </c>
      <c r="BX38" t="s">
        <v>3969</v>
      </c>
      <c r="BY38" s="9" t="s">
        <v>3970</v>
      </c>
      <c r="BZ38" t="s">
        <v>3726</v>
      </c>
      <c r="CA38" t="s">
        <v>3726</v>
      </c>
      <c r="CC38" s="3"/>
      <c r="CF38" s="74"/>
      <c r="CG38" s="74"/>
    </row>
    <row r="39" spans="6:85" x14ac:dyDescent="0.25">
      <c r="I39" s="77"/>
      <c r="J39" s="77"/>
      <c r="K39" t="s">
        <v>1150</v>
      </c>
      <c r="L39" s="74" t="s">
        <v>3888</v>
      </c>
      <c r="M39" s="74" t="s">
        <v>1265</v>
      </c>
      <c r="N39" s="74" t="s">
        <v>1264</v>
      </c>
      <c r="U39" t="s">
        <v>1188</v>
      </c>
      <c r="V39" t="s">
        <v>3971</v>
      </c>
      <c r="X39" s="77"/>
      <c r="Z39" s="77"/>
      <c r="AA39" s="77"/>
      <c r="AB39" s="77"/>
      <c r="AC39" s="77"/>
      <c r="AD39" s="77"/>
      <c r="AE39" s="77"/>
      <c r="AF39" s="3" t="s">
        <v>3776</v>
      </c>
      <c r="AG39" t="s">
        <v>3777</v>
      </c>
      <c r="AL39" s="77"/>
      <c r="AN39" t="s">
        <v>1568</v>
      </c>
      <c r="AO39" t="s">
        <v>1568</v>
      </c>
      <c r="AP39" t="s">
        <v>4528</v>
      </c>
      <c r="AQ39" t="s">
        <v>4522</v>
      </c>
      <c r="AR39" t="s">
        <v>1852</v>
      </c>
      <c r="AS39" t="s">
        <v>1852</v>
      </c>
      <c r="AT39" t="s">
        <v>3258</v>
      </c>
      <c r="AU39" t="s">
        <v>3259</v>
      </c>
      <c r="AV39" s="74"/>
      <c r="AW39" s="74"/>
      <c r="AX39" s="3" t="s">
        <v>3816</v>
      </c>
      <c r="AY39" t="s">
        <v>3817</v>
      </c>
      <c r="BJ39" t="s">
        <v>3975</v>
      </c>
      <c r="BK39" t="s">
        <v>3976</v>
      </c>
      <c r="BN39" t="s">
        <v>3977</v>
      </c>
      <c r="BO39" t="s">
        <v>3978</v>
      </c>
      <c r="BT39" t="s">
        <v>2659</v>
      </c>
      <c r="BU39" t="s">
        <v>3979</v>
      </c>
      <c r="BV39" t="s">
        <v>3980</v>
      </c>
      <c r="BW39" s="9" t="s">
        <v>3981</v>
      </c>
      <c r="BZ39" t="s">
        <v>5040</v>
      </c>
      <c r="CA39" t="s">
        <v>5054</v>
      </c>
    </row>
    <row r="40" spans="6:85" x14ac:dyDescent="0.25">
      <c r="I40" s="77"/>
      <c r="J40" s="77"/>
      <c r="K40" t="s">
        <v>972</v>
      </c>
      <c r="L40" s="74" t="s">
        <v>3905</v>
      </c>
      <c r="M40" s="74" t="s">
        <v>1268</v>
      </c>
      <c r="N40" s="74" t="s">
        <v>3982</v>
      </c>
      <c r="U40" t="s">
        <v>1838</v>
      </c>
      <c r="V40" t="s">
        <v>3983</v>
      </c>
      <c r="X40" s="77"/>
      <c r="Z40" s="77"/>
      <c r="AA40" s="77"/>
      <c r="AB40" s="77"/>
      <c r="AC40" s="77"/>
      <c r="AD40" s="77"/>
      <c r="AE40" s="77"/>
      <c r="AF40" s="3" t="s">
        <v>3795</v>
      </c>
      <c r="AG40" t="s">
        <v>3796</v>
      </c>
      <c r="AL40" s="77"/>
      <c r="AN40" t="s">
        <v>1569</v>
      </c>
      <c r="AO40" t="s">
        <v>1569</v>
      </c>
      <c r="AP40" t="s">
        <v>1776</v>
      </c>
      <c r="AQ40" t="s">
        <v>3935</v>
      </c>
      <c r="AR40" t="s">
        <v>1854</v>
      </c>
      <c r="AS40" t="s">
        <v>1854</v>
      </c>
      <c r="AT40" t="s">
        <v>3309</v>
      </c>
      <c r="AU40" s="3" t="s">
        <v>3310</v>
      </c>
      <c r="AV40" s="74"/>
      <c r="AW40" s="74"/>
      <c r="AX40" s="3" t="s">
        <v>3973</v>
      </c>
      <c r="AY40" t="s">
        <v>3974</v>
      </c>
      <c r="BJ40" t="s">
        <v>3987</v>
      </c>
      <c r="BK40" t="s">
        <v>3988</v>
      </c>
      <c r="BN40" t="s">
        <v>3581</v>
      </c>
      <c r="BO40" t="s">
        <v>3989</v>
      </c>
      <c r="BV40" t="s">
        <v>3661</v>
      </c>
      <c r="BW40" t="s">
        <v>3662</v>
      </c>
      <c r="BX40" s="12"/>
      <c r="BY40" s="12"/>
      <c r="BZ40" t="s">
        <v>5041</v>
      </c>
      <c r="CA40" t="s">
        <v>5055</v>
      </c>
    </row>
    <row r="41" spans="6:85" ht="30" x14ac:dyDescent="0.25">
      <c r="I41" s="77"/>
      <c r="J41" s="77"/>
      <c r="K41" t="s">
        <v>979</v>
      </c>
      <c r="L41" s="74" t="s">
        <v>3920</v>
      </c>
      <c r="M41" s="74" t="s">
        <v>1270</v>
      </c>
      <c r="N41" s="74" t="s">
        <v>3990</v>
      </c>
      <c r="U41" t="s">
        <v>3991</v>
      </c>
      <c r="V41" t="s">
        <v>3992</v>
      </c>
      <c r="X41" s="77"/>
      <c r="Z41" s="77"/>
      <c r="AA41" s="77"/>
      <c r="AB41" s="77"/>
      <c r="AC41" s="77"/>
      <c r="AD41" s="77"/>
      <c r="AE41" s="77"/>
      <c r="AF41" s="3" t="s">
        <v>3816</v>
      </c>
      <c r="AG41" t="s">
        <v>3817</v>
      </c>
      <c r="AL41" s="77"/>
      <c r="AN41" t="s">
        <v>1572</v>
      </c>
      <c r="AO41" t="s">
        <v>1572</v>
      </c>
      <c r="AP41" t="s">
        <v>4529</v>
      </c>
      <c r="AQ41" t="s">
        <v>4523</v>
      </c>
      <c r="AR41" t="s">
        <v>1856</v>
      </c>
      <c r="AS41" t="s">
        <v>1856</v>
      </c>
      <c r="AT41" s="3" t="s">
        <v>3754</v>
      </c>
      <c r="AU41" t="s">
        <v>3755</v>
      </c>
      <c r="AV41" s="74"/>
      <c r="AW41" s="74"/>
      <c r="AX41" t="s">
        <v>3985</v>
      </c>
      <c r="AY41" t="s">
        <v>3986</v>
      </c>
      <c r="BJ41" t="s">
        <v>3996</v>
      </c>
      <c r="BK41" t="s">
        <v>3997</v>
      </c>
      <c r="BN41" t="s">
        <v>3998</v>
      </c>
      <c r="BO41" t="s">
        <v>3999</v>
      </c>
      <c r="BT41" t="s">
        <v>3521</v>
      </c>
      <c r="BU41" t="s">
        <v>3522</v>
      </c>
      <c r="BV41" t="s">
        <v>3521</v>
      </c>
      <c r="BW41" t="s">
        <v>3522</v>
      </c>
      <c r="BX41" s="12"/>
      <c r="BY41" s="12"/>
      <c r="BZ41" t="s">
        <v>5056</v>
      </c>
      <c r="CA41" s="9" t="s">
        <v>5057</v>
      </c>
    </row>
    <row r="42" spans="6:85" x14ac:dyDescent="0.25">
      <c r="K42" t="s">
        <v>989</v>
      </c>
      <c r="L42" s="74" t="s">
        <v>3933</v>
      </c>
      <c r="M42" s="74" t="s">
        <v>1273</v>
      </c>
      <c r="N42" s="74" t="s">
        <v>3933</v>
      </c>
      <c r="U42" t="s">
        <v>4000</v>
      </c>
      <c r="V42" t="s">
        <v>4001</v>
      </c>
      <c r="X42" s="77"/>
      <c r="Z42" s="77"/>
      <c r="AA42" s="77"/>
      <c r="AB42" s="77"/>
      <c r="AC42" s="77"/>
      <c r="AD42" s="77"/>
      <c r="AE42" s="77"/>
      <c r="AF42" s="3" t="s">
        <v>3258</v>
      </c>
      <c r="AG42" t="s">
        <v>3259</v>
      </c>
      <c r="AL42" s="77"/>
      <c r="AN42" t="s">
        <v>1570</v>
      </c>
      <c r="AO42" t="s">
        <v>1570</v>
      </c>
      <c r="AP42" t="s">
        <v>1779</v>
      </c>
      <c r="AQ42" t="s">
        <v>3946</v>
      </c>
      <c r="AR42" t="s">
        <v>1858</v>
      </c>
      <c r="AS42" t="s">
        <v>1858</v>
      </c>
      <c r="AT42" s="3" t="s">
        <v>3776</v>
      </c>
      <c r="AU42" t="s">
        <v>3777</v>
      </c>
      <c r="AV42" s="74"/>
      <c r="AW42" s="74"/>
      <c r="AX42" t="s">
        <v>3994</v>
      </c>
      <c r="AY42" t="s">
        <v>3995</v>
      </c>
      <c r="BJ42" t="s">
        <v>4002</v>
      </c>
      <c r="BK42" t="s">
        <v>4003</v>
      </c>
      <c r="BN42" t="s">
        <v>4004</v>
      </c>
      <c r="BO42" t="s">
        <v>4005</v>
      </c>
      <c r="BT42" t="s">
        <v>4006</v>
      </c>
      <c r="BU42" t="s">
        <v>4007</v>
      </c>
      <c r="BV42" t="s">
        <v>3654</v>
      </c>
      <c r="BW42" s="12" t="s">
        <v>160</v>
      </c>
      <c r="BZ42" t="s">
        <v>5058</v>
      </c>
      <c r="CA42" t="s">
        <v>5059</v>
      </c>
    </row>
    <row r="43" spans="6:85" x14ac:dyDescent="0.25">
      <c r="K43" s="77"/>
      <c r="L43" s="77"/>
      <c r="M43" s="74" t="s">
        <v>3411</v>
      </c>
      <c r="N43" s="74" t="s">
        <v>3412</v>
      </c>
      <c r="U43" t="s">
        <v>4008</v>
      </c>
      <c r="V43" t="s">
        <v>4009</v>
      </c>
      <c r="X43" s="77"/>
      <c r="Z43" s="77"/>
      <c r="AA43" s="77"/>
      <c r="AB43" s="77"/>
      <c r="AC43" s="77"/>
      <c r="AD43" s="77"/>
      <c r="AE43" s="77"/>
      <c r="AF43" s="3" t="s">
        <v>3309</v>
      </c>
      <c r="AG43" t="s">
        <v>3310</v>
      </c>
      <c r="AJ43" s="77"/>
      <c r="AK43" s="77"/>
      <c r="AN43" t="s">
        <v>1571</v>
      </c>
      <c r="AO43" t="s">
        <v>1571</v>
      </c>
      <c r="AP43" t="s">
        <v>4530</v>
      </c>
      <c r="AQ43" t="s">
        <v>4524</v>
      </c>
      <c r="AR43" t="s">
        <v>1860</v>
      </c>
      <c r="AS43" t="s">
        <v>1860</v>
      </c>
      <c r="AT43" s="3" t="s">
        <v>3795</v>
      </c>
      <c r="AU43" t="s">
        <v>3796</v>
      </c>
      <c r="AV43" s="77"/>
      <c r="AW43" s="77"/>
      <c r="AX43" t="s">
        <v>3950</v>
      </c>
      <c r="AY43" t="s">
        <v>3951</v>
      </c>
      <c r="BJ43" t="s">
        <v>3985</v>
      </c>
      <c r="BK43" t="s">
        <v>3986</v>
      </c>
      <c r="BN43" t="s">
        <v>4010</v>
      </c>
      <c r="BO43" t="s">
        <v>4011</v>
      </c>
      <c r="BT43" t="s">
        <v>4012</v>
      </c>
      <c r="BU43" t="s">
        <v>4013</v>
      </c>
      <c r="BV43" t="s">
        <v>3673</v>
      </c>
      <c r="BW43" s="12" t="s">
        <v>67</v>
      </c>
      <c r="BZ43" t="s">
        <v>5060</v>
      </c>
      <c r="CA43" t="s">
        <v>5061</v>
      </c>
    </row>
    <row r="44" spans="6:85" x14ac:dyDescent="0.25">
      <c r="I44" s="77"/>
      <c r="J44" s="77"/>
      <c r="K44" s="77"/>
      <c r="L44" s="77"/>
      <c r="M44" s="74"/>
      <c r="N44" s="74"/>
      <c r="U44" t="s">
        <v>4014</v>
      </c>
      <c r="V44" t="s">
        <v>4015</v>
      </c>
      <c r="X44" s="77"/>
      <c r="Z44" s="77"/>
      <c r="AA44" s="77"/>
      <c r="AB44" s="77"/>
      <c r="AC44" s="77"/>
      <c r="AD44" s="77"/>
      <c r="AE44" s="77"/>
      <c r="AJ44" s="77"/>
      <c r="AK44" s="77"/>
      <c r="AN44" t="s">
        <v>1573</v>
      </c>
      <c r="AO44" t="s">
        <v>1573</v>
      </c>
      <c r="AP44" t="s">
        <v>1784</v>
      </c>
      <c r="AQ44" t="s">
        <v>3961</v>
      </c>
      <c r="AR44" t="s">
        <v>1862</v>
      </c>
      <c r="AS44" t="s">
        <v>1862</v>
      </c>
      <c r="AT44" s="3" t="s">
        <v>3816</v>
      </c>
      <c r="AU44" t="s">
        <v>3817</v>
      </c>
      <c r="AV44" s="77"/>
      <c r="AW44" s="77"/>
      <c r="AX44" t="s">
        <v>3962</v>
      </c>
      <c r="AY44" t="s">
        <v>3963</v>
      </c>
      <c r="BJ44" t="s">
        <v>3994</v>
      </c>
      <c r="BK44" t="s">
        <v>3995</v>
      </c>
      <c r="BN44" t="s">
        <v>4016</v>
      </c>
      <c r="BO44" t="s">
        <v>4017</v>
      </c>
      <c r="BT44" t="s">
        <v>4018</v>
      </c>
      <c r="BU44" t="s">
        <v>4019</v>
      </c>
      <c r="BV44" t="s">
        <v>2659</v>
      </c>
      <c r="BW44" t="s">
        <v>3979</v>
      </c>
      <c r="BZ44" t="s">
        <v>5062</v>
      </c>
      <c r="CA44" t="s">
        <v>5063</v>
      </c>
      <c r="CC44" s="9"/>
    </row>
    <row r="45" spans="6:85" x14ac:dyDescent="0.25">
      <c r="I45" s="77"/>
      <c r="J45" s="77"/>
      <c r="K45" s="77"/>
      <c r="L45" s="77"/>
      <c r="M45" s="74"/>
      <c r="N45" s="74"/>
      <c r="U45" t="s">
        <v>4020</v>
      </c>
      <c r="V45" t="s">
        <v>4021</v>
      </c>
      <c r="X45" s="77"/>
      <c r="Z45" s="77"/>
      <c r="AA45" s="77"/>
      <c r="AB45" s="77"/>
      <c r="AC45" s="77"/>
      <c r="AD45" s="77"/>
      <c r="AE45" s="77"/>
      <c r="AI45" s="77"/>
      <c r="AJ45" s="77"/>
      <c r="AK45" s="77"/>
      <c r="AN45" t="s">
        <v>1574</v>
      </c>
      <c r="AO45" t="s">
        <v>1574</v>
      </c>
      <c r="AP45" t="s">
        <v>4531</v>
      </c>
      <c r="AQ45" t="s">
        <v>4525</v>
      </c>
      <c r="AR45" t="s">
        <v>1864</v>
      </c>
      <c r="AS45" t="s">
        <v>1864</v>
      </c>
      <c r="AV45" s="77"/>
      <c r="AW45" s="77"/>
      <c r="AX45" t="s">
        <v>3975</v>
      </c>
      <c r="AY45" t="s">
        <v>3976</v>
      </c>
      <c r="BJ45" t="s">
        <v>4366</v>
      </c>
      <c r="BK45" t="s">
        <v>4367</v>
      </c>
      <c r="BN45" t="s">
        <v>4022</v>
      </c>
      <c r="BO45" t="s">
        <v>4023</v>
      </c>
      <c r="BT45" t="s">
        <v>4024</v>
      </c>
      <c r="BU45" t="s">
        <v>4025</v>
      </c>
      <c r="BV45" t="s">
        <v>4026</v>
      </c>
      <c r="BW45" t="s">
        <v>4027</v>
      </c>
      <c r="BZ45" t="s">
        <v>5064</v>
      </c>
      <c r="CA45" t="s">
        <v>5065</v>
      </c>
    </row>
    <row r="46" spans="6:85" x14ac:dyDescent="0.25">
      <c r="I46" s="77"/>
      <c r="J46" s="77"/>
      <c r="K46" s="77"/>
      <c r="L46" s="77"/>
      <c r="M46" s="77"/>
      <c r="N46" s="77"/>
      <c r="U46" t="s">
        <v>4028</v>
      </c>
      <c r="V46" t="s">
        <v>4029</v>
      </c>
      <c r="X46" s="77"/>
      <c r="Z46" s="77"/>
      <c r="AA46" s="77"/>
      <c r="AB46" s="77"/>
      <c r="AC46" s="77"/>
      <c r="AD46" s="77"/>
      <c r="AE46" s="77"/>
      <c r="AI46" s="77"/>
      <c r="AJ46" s="77"/>
      <c r="AK46" s="77"/>
      <c r="AN46" t="s">
        <v>1593</v>
      </c>
      <c r="AO46" t="s">
        <v>1593</v>
      </c>
      <c r="AP46" t="s">
        <v>1787</v>
      </c>
      <c r="AQ46" t="s">
        <v>3972</v>
      </c>
      <c r="AR46" t="s">
        <v>1866</v>
      </c>
      <c r="AS46" t="s">
        <v>1866</v>
      </c>
      <c r="AV46" s="77"/>
      <c r="AW46" s="77"/>
      <c r="AX46" t="s">
        <v>3996</v>
      </c>
      <c r="AY46" t="s">
        <v>3997</v>
      </c>
      <c r="BN46" t="s">
        <v>4030</v>
      </c>
      <c r="BO46" t="s">
        <v>4031</v>
      </c>
      <c r="BT46" t="s">
        <v>4032</v>
      </c>
      <c r="BU46" t="s">
        <v>4033</v>
      </c>
      <c r="BV46" t="s">
        <v>4034</v>
      </c>
      <c r="BW46" t="s">
        <v>4035</v>
      </c>
      <c r="BZ46" t="s">
        <v>5066</v>
      </c>
      <c r="CA46" t="s">
        <v>5067</v>
      </c>
    </row>
    <row r="47" spans="6:85" x14ac:dyDescent="0.25">
      <c r="I47" s="77"/>
      <c r="K47" s="77"/>
      <c r="L47" s="77"/>
      <c r="M47" s="77"/>
      <c r="N47" s="77"/>
      <c r="X47" s="77"/>
      <c r="Z47" s="77"/>
      <c r="AA47" s="77"/>
      <c r="AB47" s="77"/>
      <c r="AC47" s="77"/>
      <c r="AD47" s="77"/>
      <c r="AE47" s="77"/>
      <c r="AI47" s="77"/>
      <c r="AJ47" s="77"/>
      <c r="AK47" s="77"/>
      <c r="AN47" t="s">
        <v>1597</v>
      </c>
      <c r="AO47" t="s">
        <v>1597</v>
      </c>
      <c r="AP47" t="s">
        <v>1793</v>
      </c>
      <c r="AQ47" t="s">
        <v>3984</v>
      </c>
      <c r="AR47" t="s">
        <v>1868</v>
      </c>
      <c r="AS47" t="s">
        <v>1868</v>
      </c>
      <c r="AV47" s="77"/>
      <c r="AW47" s="77"/>
      <c r="AX47" t="s">
        <v>4002</v>
      </c>
      <c r="AY47" t="s">
        <v>4003</v>
      </c>
      <c r="BN47" t="s">
        <v>4036</v>
      </c>
      <c r="BO47" t="s">
        <v>4037</v>
      </c>
      <c r="BT47" t="s">
        <v>4038</v>
      </c>
      <c r="BU47" t="s">
        <v>4039</v>
      </c>
      <c r="BV47" t="s">
        <v>4040</v>
      </c>
      <c r="BW47" t="s">
        <v>4041</v>
      </c>
      <c r="BZ47" t="s">
        <v>5081</v>
      </c>
      <c r="CA47" t="s">
        <v>5088</v>
      </c>
    </row>
    <row r="48" spans="6:85" x14ac:dyDescent="0.25">
      <c r="I48" s="77"/>
      <c r="J48" s="77"/>
      <c r="K48" s="77"/>
      <c r="L48" s="77"/>
      <c r="M48" s="77"/>
      <c r="N48" s="77"/>
      <c r="X48" s="77"/>
      <c r="Z48" s="77"/>
      <c r="AA48" s="77"/>
      <c r="AB48" s="77"/>
      <c r="AC48" s="77"/>
      <c r="AD48" s="77"/>
      <c r="AE48" s="77"/>
      <c r="AI48" s="77"/>
      <c r="AJ48" s="77"/>
      <c r="AK48" s="77"/>
      <c r="AN48" t="s">
        <v>1598</v>
      </c>
      <c r="AO48" t="s">
        <v>1598</v>
      </c>
      <c r="AP48" t="s">
        <v>1796</v>
      </c>
      <c r="AQ48" t="s">
        <v>3993</v>
      </c>
      <c r="AR48" t="s">
        <v>1870</v>
      </c>
      <c r="AS48" t="s">
        <v>1870</v>
      </c>
      <c r="AV48" s="77"/>
      <c r="AW48" s="77"/>
      <c r="AX48" t="s">
        <v>3780</v>
      </c>
      <c r="AY48" t="s">
        <v>3781</v>
      </c>
      <c r="BN48" t="s">
        <v>3739</v>
      </c>
      <c r="BO48" t="s">
        <v>3740</v>
      </c>
      <c r="BT48" t="s">
        <v>4042</v>
      </c>
      <c r="BU48" t="s">
        <v>4043</v>
      </c>
      <c r="BV48" t="s">
        <v>4044</v>
      </c>
      <c r="BW48" t="s">
        <v>4045</v>
      </c>
      <c r="BZ48" t="s">
        <v>5082</v>
      </c>
      <c r="CA48" t="s">
        <v>5087</v>
      </c>
    </row>
    <row r="49" spans="5:83" x14ac:dyDescent="0.25">
      <c r="I49" s="77"/>
      <c r="J49" s="77"/>
      <c r="L49" s="77"/>
      <c r="M49" s="77"/>
      <c r="N49" s="77"/>
      <c r="X49" s="77"/>
      <c r="Z49" s="77"/>
      <c r="AA49" s="77"/>
      <c r="AB49" s="77"/>
      <c r="AC49" s="77"/>
      <c r="AD49" s="77"/>
      <c r="AE49" s="77"/>
      <c r="AI49" s="77"/>
      <c r="AJ49" s="77"/>
      <c r="AK49" s="77"/>
      <c r="AL49" s="77"/>
      <c r="AM49" s="77"/>
      <c r="AN49" t="s">
        <v>1599</v>
      </c>
      <c r="AO49" t="s">
        <v>1599</v>
      </c>
      <c r="AP49" t="s">
        <v>4532</v>
      </c>
      <c r="AQ49" t="s">
        <v>4526</v>
      </c>
      <c r="AR49" t="s">
        <v>1874</v>
      </c>
      <c r="AS49" t="s">
        <v>1874</v>
      </c>
      <c r="AV49" s="77"/>
      <c r="AW49" s="77"/>
      <c r="AX49" t="s">
        <v>3698</v>
      </c>
      <c r="AY49" t="s">
        <v>3699</v>
      </c>
      <c r="BN49" t="s">
        <v>3762</v>
      </c>
      <c r="BO49" t="s">
        <v>3763</v>
      </c>
      <c r="BT49" t="s">
        <v>4047</v>
      </c>
      <c r="BU49" t="s">
        <v>4048</v>
      </c>
      <c r="BV49" t="s">
        <v>4049</v>
      </c>
      <c r="BW49" t="s">
        <v>4050</v>
      </c>
      <c r="BZ49" t="s">
        <v>1</v>
      </c>
      <c r="CA49" t="s">
        <v>3419</v>
      </c>
    </row>
    <row r="50" spans="5:83" x14ac:dyDescent="0.25">
      <c r="E50" s="3"/>
      <c r="I50" s="77"/>
      <c r="J50" s="77"/>
      <c r="L50" s="77"/>
      <c r="M50" s="77"/>
      <c r="N50" s="77"/>
      <c r="X50" s="77"/>
      <c r="Z50" s="77"/>
      <c r="AA50" s="77"/>
      <c r="AB50" s="77"/>
      <c r="AC50" s="77"/>
      <c r="AD50" s="77"/>
      <c r="AE50" s="77"/>
      <c r="AI50" s="77"/>
      <c r="AJ50" s="77"/>
      <c r="AK50" s="77"/>
      <c r="AL50" s="77"/>
      <c r="AM50" s="77"/>
      <c r="AN50" t="s">
        <v>1600</v>
      </c>
      <c r="AO50" t="s">
        <v>1600</v>
      </c>
      <c r="AP50" t="s">
        <v>1802</v>
      </c>
      <c r="AQ50" t="s">
        <v>1802</v>
      </c>
      <c r="AR50" t="s">
        <v>1876</v>
      </c>
      <c r="AS50" t="s">
        <v>1876</v>
      </c>
      <c r="AV50" s="77"/>
      <c r="AW50" s="77"/>
      <c r="AX50" t="s">
        <v>3715</v>
      </c>
      <c r="AY50" t="s">
        <v>3716</v>
      </c>
      <c r="BN50" t="s">
        <v>3782</v>
      </c>
      <c r="BO50" t="s">
        <v>3783</v>
      </c>
      <c r="BT50" t="s">
        <v>4053</v>
      </c>
      <c r="BU50" t="s">
        <v>4054</v>
      </c>
      <c r="BV50" t="s">
        <v>3931</v>
      </c>
      <c r="BW50" t="s">
        <v>3932</v>
      </c>
      <c r="BZ50" t="s">
        <v>2965</v>
      </c>
      <c r="CA50" t="s">
        <v>3868</v>
      </c>
      <c r="CE50" s="9"/>
    </row>
    <row r="51" spans="5:83" x14ac:dyDescent="0.25">
      <c r="E51" s="3"/>
      <c r="I51" s="77"/>
      <c r="J51" s="77"/>
      <c r="K51" s="77"/>
      <c r="L51" s="77"/>
      <c r="M51" s="77"/>
      <c r="N51" s="77"/>
      <c r="U51" s="3"/>
      <c r="V51" s="3"/>
      <c r="X51" s="77"/>
      <c r="Z51" s="77"/>
      <c r="AA51" s="77"/>
      <c r="AB51" s="77"/>
      <c r="AC51" s="77"/>
      <c r="AD51" s="77"/>
      <c r="AE51" s="77"/>
      <c r="AI51" s="77"/>
      <c r="AJ51" s="77"/>
      <c r="AK51" s="77"/>
      <c r="AN51" t="s">
        <v>1601</v>
      </c>
      <c r="AO51" t="s">
        <v>1601</v>
      </c>
      <c r="AP51" t="s">
        <v>1805</v>
      </c>
      <c r="AQ51" t="s">
        <v>1805</v>
      </c>
      <c r="AR51" t="s">
        <v>1878</v>
      </c>
      <c r="AS51" t="s">
        <v>1878</v>
      </c>
      <c r="AV51" s="77"/>
      <c r="AW51" s="77"/>
      <c r="AX51" t="s">
        <v>3737</v>
      </c>
      <c r="AY51" t="s">
        <v>3738</v>
      </c>
      <c r="BN51" t="s">
        <v>3802</v>
      </c>
      <c r="BO51" t="s">
        <v>3803</v>
      </c>
      <c r="BT51" t="s">
        <v>4055</v>
      </c>
      <c r="BU51" t="s">
        <v>4056</v>
      </c>
      <c r="BV51" t="s">
        <v>4057</v>
      </c>
      <c r="BW51" t="s">
        <v>4058</v>
      </c>
      <c r="CE51" s="9"/>
    </row>
    <row r="52" spans="5:83" x14ac:dyDescent="0.25">
      <c r="E52" s="3"/>
      <c r="I52" s="77"/>
      <c r="J52" s="77"/>
      <c r="K52" s="77"/>
      <c r="L52" s="77"/>
      <c r="M52" s="77"/>
      <c r="N52" s="77"/>
      <c r="X52" s="77"/>
      <c r="Z52" s="77"/>
      <c r="AA52" s="77"/>
      <c r="AB52" s="77"/>
      <c r="AC52" s="77"/>
      <c r="AD52" s="77"/>
      <c r="AE52" s="77"/>
      <c r="AI52" s="77"/>
      <c r="AJ52" s="77"/>
      <c r="AK52" s="77"/>
      <c r="AN52" t="s">
        <v>1602</v>
      </c>
      <c r="AO52" t="s">
        <v>1602</v>
      </c>
      <c r="AP52" t="s">
        <v>1808</v>
      </c>
      <c r="AQ52" t="s">
        <v>1808</v>
      </c>
      <c r="AR52" t="s">
        <v>4052</v>
      </c>
      <c r="AS52" t="s">
        <v>4052</v>
      </c>
      <c r="AV52" s="77"/>
      <c r="AW52" s="77"/>
      <c r="AX52" t="s">
        <v>3760</v>
      </c>
      <c r="AY52" t="s">
        <v>3761</v>
      </c>
      <c r="BN52" t="s">
        <v>3822</v>
      </c>
      <c r="BO52" t="s">
        <v>3823</v>
      </c>
      <c r="BT52" t="s">
        <v>4059</v>
      </c>
      <c r="BU52" t="s">
        <v>4060</v>
      </c>
      <c r="BV52" t="s">
        <v>3957</v>
      </c>
      <c r="BW52" t="s">
        <v>3958</v>
      </c>
      <c r="CE52" s="9"/>
    </row>
    <row r="53" spans="5:83" x14ac:dyDescent="0.25">
      <c r="I53" s="77"/>
      <c r="J53" s="77"/>
      <c r="K53" s="77"/>
      <c r="L53" s="77"/>
      <c r="M53" s="77"/>
      <c r="N53" s="77"/>
      <c r="Z53" s="77"/>
      <c r="AA53" s="77"/>
      <c r="AB53" s="77"/>
      <c r="AC53" s="77"/>
      <c r="AD53" s="77"/>
      <c r="AE53" s="77"/>
      <c r="AI53" s="77"/>
      <c r="AJ53" s="77"/>
      <c r="AK53" s="77"/>
      <c r="AN53" t="s">
        <v>1603</v>
      </c>
      <c r="AO53" t="s">
        <v>1603</v>
      </c>
      <c r="AP53" t="s">
        <v>1811</v>
      </c>
      <c r="AQ53" t="s">
        <v>1811</v>
      </c>
      <c r="AR53" t="s">
        <v>1880</v>
      </c>
      <c r="AS53" t="s">
        <v>1880</v>
      </c>
      <c r="AV53" s="77"/>
      <c r="AW53" s="77"/>
      <c r="AX53" s="77"/>
      <c r="AY53" s="77"/>
      <c r="BN53" t="s">
        <v>3844</v>
      </c>
      <c r="BO53" t="s">
        <v>3845</v>
      </c>
      <c r="BT53" t="s">
        <v>4061</v>
      </c>
      <c r="BU53" t="s">
        <v>4062</v>
      </c>
      <c r="BV53" t="s">
        <v>4063</v>
      </c>
      <c r="BW53" t="s">
        <v>4064</v>
      </c>
      <c r="CE53" s="9"/>
    </row>
    <row r="54" spans="5:83" x14ac:dyDescent="0.25">
      <c r="K54" s="77"/>
      <c r="L54" s="77"/>
      <c r="M54" s="77"/>
      <c r="N54" s="77"/>
      <c r="AB54" s="77"/>
      <c r="AC54" s="77"/>
      <c r="AI54" s="77"/>
      <c r="AJ54" s="77"/>
      <c r="AK54" s="77"/>
      <c r="AN54" t="s">
        <v>1604</v>
      </c>
      <c r="AO54" t="s">
        <v>1604</v>
      </c>
      <c r="AP54" t="s">
        <v>1814</v>
      </c>
      <c r="AQ54" t="s">
        <v>1814</v>
      </c>
      <c r="AR54" t="s">
        <v>1882</v>
      </c>
      <c r="AS54" t="s">
        <v>1882</v>
      </c>
      <c r="AV54" s="77"/>
      <c r="AW54" s="77"/>
      <c r="AX54" s="77"/>
      <c r="AY54" s="77"/>
      <c r="BN54" t="s">
        <v>3860</v>
      </c>
      <c r="BO54" t="s">
        <v>3861</v>
      </c>
      <c r="BT54" t="s">
        <v>4065</v>
      </c>
      <c r="BU54" t="s">
        <v>4066</v>
      </c>
      <c r="BV54" t="s">
        <v>4067</v>
      </c>
      <c r="BW54" t="s">
        <v>4068</v>
      </c>
      <c r="CE54" s="9"/>
    </row>
    <row r="55" spans="5:83" x14ac:dyDescent="0.25">
      <c r="K55" s="77"/>
      <c r="L55" s="77"/>
      <c r="M55" s="77"/>
      <c r="N55" s="77"/>
      <c r="AI55" s="77"/>
      <c r="AJ55" s="77"/>
      <c r="AK55" s="77"/>
      <c r="AN55" t="s">
        <v>1605</v>
      </c>
      <c r="AO55" t="s">
        <v>1605</v>
      </c>
      <c r="AP55" t="s">
        <v>1817</v>
      </c>
      <c r="AQ55" t="s">
        <v>1817</v>
      </c>
      <c r="AR55" t="s">
        <v>1884</v>
      </c>
      <c r="AS55" t="s">
        <v>1884</v>
      </c>
      <c r="AV55" s="77"/>
      <c r="AW55" s="77"/>
      <c r="AX55" s="77"/>
      <c r="AY55" s="77"/>
      <c r="BN55" t="s">
        <v>3879</v>
      </c>
      <c r="BO55" t="s">
        <v>3880</v>
      </c>
      <c r="BT55" t="s">
        <v>4069</v>
      </c>
      <c r="BU55" t="s">
        <v>4070</v>
      </c>
      <c r="BV55" t="s">
        <v>1547</v>
      </c>
      <c r="BW55" t="s">
        <v>4071</v>
      </c>
      <c r="CE55" s="9"/>
    </row>
    <row r="56" spans="5:83" x14ac:dyDescent="0.25">
      <c r="K56" s="77"/>
      <c r="L56" s="77"/>
      <c r="M56" s="77"/>
      <c r="N56" s="77"/>
      <c r="AI56" s="77"/>
      <c r="AN56" t="s">
        <v>1606</v>
      </c>
      <c r="AO56" t="s">
        <v>1606</v>
      </c>
      <c r="AP56" t="s">
        <v>1820</v>
      </c>
      <c r="AQ56" t="s">
        <v>1820</v>
      </c>
      <c r="AR56" t="s">
        <v>1886</v>
      </c>
      <c r="AS56" t="s">
        <v>1886</v>
      </c>
      <c r="AV56" s="77"/>
      <c r="AW56" s="77"/>
      <c r="BN56" t="s">
        <v>3896</v>
      </c>
      <c r="BO56" t="s">
        <v>3897</v>
      </c>
      <c r="BT56" t="s">
        <v>4072</v>
      </c>
      <c r="BU56" t="s">
        <v>4073</v>
      </c>
      <c r="BV56" t="s">
        <v>4074</v>
      </c>
      <c r="BW56" t="s">
        <v>4075</v>
      </c>
      <c r="CE56" s="9"/>
    </row>
    <row r="57" spans="5:83" x14ac:dyDescent="0.25">
      <c r="K57" s="77"/>
      <c r="L57" s="77"/>
      <c r="M57" s="77"/>
      <c r="N57" s="77"/>
      <c r="AI57" s="77"/>
      <c r="AN57" t="s">
        <v>1607</v>
      </c>
      <c r="AO57" t="s">
        <v>1607</v>
      </c>
      <c r="AP57" t="s">
        <v>1823</v>
      </c>
      <c r="AQ57" t="s">
        <v>4046</v>
      </c>
      <c r="AR57" t="s">
        <v>1888</v>
      </c>
      <c r="AS57" t="s">
        <v>1888</v>
      </c>
      <c r="AV57" s="77"/>
      <c r="AW57" s="77"/>
      <c r="BT57" t="s">
        <v>4076</v>
      </c>
      <c r="BU57" t="s">
        <v>4077</v>
      </c>
      <c r="BV57" t="s">
        <v>4078</v>
      </c>
      <c r="BW57" t="s">
        <v>4079</v>
      </c>
      <c r="CE57" s="9"/>
    </row>
    <row r="58" spans="5:83" x14ac:dyDescent="0.25">
      <c r="M58" s="77"/>
      <c r="N58" s="77"/>
      <c r="AN58" t="s">
        <v>1608</v>
      </c>
      <c r="AO58" t="s">
        <v>1608</v>
      </c>
      <c r="AP58" t="s">
        <v>4533</v>
      </c>
      <c r="AQ58" t="s">
        <v>4527</v>
      </c>
      <c r="AR58" t="s">
        <v>1890</v>
      </c>
      <c r="AS58" t="s">
        <v>1890</v>
      </c>
      <c r="BT58" t="s">
        <v>4080</v>
      </c>
      <c r="BU58" t="s">
        <v>4081</v>
      </c>
      <c r="BV58" t="s">
        <v>4082</v>
      </c>
      <c r="BW58" t="s">
        <v>4083</v>
      </c>
    </row>
    <row r="59" spans="5:83" x14ac:dyDescent="0.25">
      <c r="M59" s="77"/>
      <c r="N59" s="77"/>
      <c r="AN59" t="s">
        <v>4517</v>
      </c>
      <c r="AO59" t="s">
        <v>4540</v>
      </c>
      <c r="AP59" t="s">
        <v>1825</v>
      </c>
      <c r="AQ59" t="s">
        <v>4051</v>
      </c>
      <c r="AR59" t="s">
        <v>1891</v>
      </c>
      <c r="AS59" t="s">
        <v>1891</v>
      </c>
      <c r="BT59" t="s">
        <v>4084</v>
      </c>
      <c r="BU59" t="s">
        <v>4085</v>
      </c>
      <c r="BV59" t="s">
        <v>4086</v>
      </c>
      <c r="BW59" t="s">
        <v>4087</v>
      </c>
    </row>
    <row r="60" spans="5:83" x14ac:dyDescent="0.25">
      <c r="M60" s="77"/>
      <c r="N60" s="77"/>
      <c r="AN60" t="s">
        <v>1609</v>
      </c>
      <c r="AO60" t="s">
        <v>1609</v>
      </c>
      <c r="AP60" t="s">
        <v>4557</v>
      </c>
      <c r="AQ60" t="s">
        <v>4558</v>
      </c>
      <c r="AR60" t="s">
        <v>1892</v>
      </c>
      <c r="AS60" t="s">
        <v>1892</v>
      </c>
      <c r="BT60" t="s">
        <v>4089</v>
      </c>
      <c r="BU60" t="s">
        <v>4090</v>
      </c>
      <c r="BV60" t="s">
        <v>4091</v>
      </c>
      <c r="BW60" t="s">
        <v>4092</v>
      </c>
      <c r="CE60" s="12"/>
    </row>
    <row r="61" spans="5:83" x14ac:dyDescent="0.25">
      <c r="AN61" t="s">
        <v>4519</v>
      </c>
      <c r="AO61" t="s">
        <v>4541</v>
      </c>
      <c r="AR61" t="s">
        <v>1894</v>
      </c>
      <c r="AS61" t="s">
        <v>1894</v>
      </c>
      <c r="BT61" t="s">
        <v>4093</v>
      </c>
      <c r="BU61" t="s">
        <v>4094</v>
      </c>
      <c r="BV61" t="s">
        <v>4095</v>
      </c>
      <c r="BW61" t="s">
        <v>4096</v>
      </c>
      <c r="CE61" s="12"/>
    </row>
    <row r="62" spans="5:83" x14ac:dyDescent="0.25">
      <c r="AN62" t="s">
        <v>1610</v>
      </c>
      <c r="AO62" t="s">
        <v>1610</v>
      </c>
      <c r="AR62" t="s">
        <v>1896</v>
      </c>
      <c r="AS62" t="s">
        <v>1896</v>
      </c>
      <c r="BT62" t="s">
        <v>4097</v>
      </c>
      <c r="BU62" t="s">
        <v>4098</v>
      </c>
      <c r="BV62" t="s">
        <v>4099</v>
      </c>
      <c r="BW62" t="s">
        <v>4100</v>
      </c>
    </row>
    <row r="63" spans="5:83" x14ac:dyDescent="0.25">
      <c r="AN63" t="s">
        <v>1611</v>
      </c>
      <c r="AO63" t="s">
        <v>1611</v>
      </c>
      <c r="AR63" t="s">
        <v>1898</v>
      </c>
      <c r="AS63" t="s">
        <v>1898</v>
      </c>
      <c r="BT63" t="s">
        <v>4101</v>
      </c>
      <c r="BU63" t="s">
        <v>4102</v>
      </c>
      <c r="BV63" t="s">
        <v>4103</v>
      </c>
      <c r="BW63" t="s">
        <v>4104</v>
      </c>
    </row>
    <row r="64" spans="5:83" x14ac:dyDescent="0.25">
      <c r="AN64" t="s">
        <v>1612</v>
      </c>
      <c r="AO64" t="s">
        <v>1612</v>
      </c>
      <c r="AR64" t="s">
        <v>1900</v>
      </c>
      <c r="AS64" t="s">
        <v>1900</v>
      </c>
      <c r="BT64" t="s">
        <v>4105</v>
      </c>
      <c r="BU64" t="s">
        <v>4106</v>
      </c>
      <c r="BV64" t="s">
        <v>2640</v>
      </c>
      <c r="BW64" t="s">
        <v>4107</v>
      </c>
    </row>
    <row r="65" spans="40:75" x14ac:dyDescent="0.25">
      <c r="AN65" t="s">
        <v>4521</v>
      </c>
      <c r="AO65" t="s">
        <v>4542</v>
      </c>
      <c r="AR65" t="s">
        <v>1902</v>
      </c>
      <c r="AS65" t="s">
        <v>1902</v>
      </c>
      <c r="BT65" t="s">
        <v>4108</v>
      </c>
      <c r="BU65" t="s">
        <v>4109</v>
      </c>
      <c r="BV65" s="9" t="s">
        <v>4110</v>
      </c>
      <c r="BW65" s="9" t="s">
        <v>4111</v>
      </c>
    </row>
    <row r="66" spans="40:75" x14ac:dyDescent="0.25">
      <c r="AN66" t="s">
        <v>1613</v>
      </c>
      <c r="AO66" t="s">
        <v>1613</v>
      </c>
      <c r="AR66" t="s">
        <v>1904</v>
      </c>
      <c r="AS66" t="s">
        <v>1904</v>
      </c>
      <c r="BT66" t="s">
        <v>4112</v>
      </c>
      <c r="BU66" t="s">
        <v>4113</v>
      </c>
      <c r="BV66" t="s">
        <v>4114</v>
      </c>
      <c r="BW66" s="9" t="s">
        <v>4115</v>
      </c>
    </row>
    <row r="67" spans="40:75" x14ac:dyDescent="0.25">
      <c r="AN67" t="s">
        <v>4518</v>
      </c>
      <c r="AO67" t="s">
        <v>4543</v>
      </c>
      <c r="AR67" t="s">
        <v>1912</v>
      </c>
      <c r="AS67" t="s">
        <v>1912</v>
      </c>
      <c r="BT67" t="s">
        <v>4117</v>
      </c>
      <c r="BU67" t="s">
        <v>4118</v>
      </c>
      <c r="BV67" t="s">
        <v>4119</v>
      </c>
      <c r="BW67" s="9" t="s">
        <v>4120</v>
      </c>
    </row>
    <row r="68" spans="40:75" x14ac:dyDescent="0.25">
      <c r="AN68" t="s">
        <v>54</v>
      </c>
      <c r="AO68" t="s">
        <v>54</v>
      </c>
      <c r="AR68" t="s">
        <v>1913</v>
      </c>
      <c r="AS68" t="s">
        <v>1913</v>
      </c>
      <c r="BV68" t="s">
        <v>4121</v>
      </c>
      <c r="BW68" s="9" t="s">
        <v>4122</v>
      </c>
    </row>
    <row r="69" spans="40:75" x14ac:dyDescent="0.25">
      <c r="AN69" t="s">
        <v>4088</v>
      </c>
      <c r="AO69" t="s">
        <v>4088</v>
      </c>
      <c r="AP69" s="77"/>
      <c r="AR69" t="s">
        <v>4116</v>
      </c>
      <c r="AS69" t="s">
        <v>4116</v>
      </c>
      <c r="BV69" t="s">
        <v>2645</v>
      </c>
      <c r="BW69" s="9" t="s">
        <v>4123</v>
      </c>
    </row>
    <row r="70" spans="40:75" x14ac:dyDescent="0.25">
      <c r="AN70" t="s">
        <v>1906</v>
      </c>
      <c r="AO70" t="s">
        <v>1906</v>
      </c>
      <c r="AP70" s="77"/>
      <c r="AR70" t="s">
        <v>1915</v>
      </c>
      <c r="AS70" t="s">
        <v>1915</v>
      </c>
      <c r="BV70" t="s">
        <v>2640</v>
      </c>
      <c r="BW70" s="9" t="s">
        <v>4107</v>
      </c>
    </row>
    <row r="71" spans="40:75" x14ac:dyDescent="0.25">
      <c r="AN71" t="s">
        <v>1908</v>
      </c>
      <c r="AO71" t="s">
        <v>1908</v>
      </c>
      <c r="AR71" t="s">
        <v>1906</v>
      </c>
      <c r="AS71" t="s">
        <v>1906</v>
      </c>
      <c r="BV71" t="s">
        <v>4124</v>
      </c>
      <c r="BW71" s="9" t="s">
        <v>4125</v>
      </c>
    </row>
    <row r="72" spans="40:75" x14ac:dyDescent="0.25">
      <c r="AN72" t="s">
        <v>1910</v>
      </c>
      <c r="AO72" t="s">
        <v>1910</v>
      </c>
      <c r="AR72" t="s">
        <v>1908</v>
      </c>
      <c r="AS72" t="s">
        <v>1908</v>
      </c>
      <c r="BV72" t="s">
        <v>3943</v>
      </c>
      <c r="BW72" s="9" t="s">
        <v>3944</v>
      </c>
    </row>
    <row r="73" spans="40:75" x14ac:dyDescent="0.25">
      <c r="AN73" t="s">
        <v>1565</v>
      </c>
      <c r="AO73" t="s">
        <v>1565</v>
      </c>
      <c r="AR73" t="s">
        <v>1910</v>
      </c>
      <c r="AS73" t="s">
        <v>1910</v>
      </c>
      <c r="BV73" t="s">
        <v>4126</v>
      </c>
      <c r="BW73" t="s">
        <v>4127</v>
      </c>
    </row>
    <row r="74" spans="40:75" x14ac:dyDescent="0.25">
      <c r="AN74" t="s">
        <v>4520</v>
      </c>
      <c r="AO74" t="s">
        <v>4544</v>
      </c>
      <c r="AR74" t="s">
        <v>54</v>
      </c>
      <c r="AS74" t="s">
        <v>54</v>
      </c>
      <c r="BV74" t="s">
        <v>4128</v>
      </c>
      <c r="BW74" t="s">
        <v>4068</v>
      </c>
    </row>
    <row r="75" spans="40:75" x14ac:dyDescent="0.25">
      <c r="AN75" t="s">
        <v>1614</v>
      </c>
      <c r="AO75" t="s">
        <v>1614</v>
      </c>
      <c r="AR75" t="s">
        <v>4088</v>
      </c>
      <c r="AS75" t="s">
        <v>4088</v>
      </c>
      <c r="BV75" t="s">
        <v>4129</v>
      </c>
      <c r="BW75" t="s">
        <v>3970</v>
      </c>
    </row>
    <row r="76" spans="40:75" x14ac:dyDescent="0.25">
      <c r="AN76" t="s">
        <v>1615</v>
      </c>
      <c r="AO76" t="s">
        <v>1615</v>
      </c>
      <c r="AR76" t="s">
        <v>1565</v>
      </c>
      <c r="AS76" t="s">
        <v>1565</v>
      </c>
      <c r="BV76" t="s">
        <v>4130</v>
      </c>
      <c r="BW76" t="s">
        <v>4131</v>
      </c>
    </row>
    <row r="77" spans="40:75" x14ac:dyDescent="0.25">
      <c r="AN77" t="s">
        <v>1616</v>
      </c>
      <c r="AO77" t="s">
        <v>1616</v>
      </c>
      <c r="AR77" t="s">
        <v>1614</v>
      </c>
      <c r="AS77" t="s">
        <v>1614</v>
      </c>
      <c r="BV77" t="s">
        <v>4132</v>
      </c>
      <c r="BW77" t="s">
        <v>4133</v>
      </c>
    </row>
    <row r="78" spans="40:75" x14ac:dyDescent="0.25">
      <c r="AN78" t="s">
        <v>4512</v>
      </c>
      <c r="AO78" t="s">
        <v>4545</v>
      </c>
      <c r="BV78" t="s">
        <v>4134</v>
      </c>
      <c r="BW78" t="s">
        <v>4133</v>
      </c>
    </row>
    <row r="79" spans="40:75" x14ac:dyDescent="0.25">
      <c r="AN79" t="s">
        <v>1617</v>
      </c>
      <c r="AO79" t="s">
        <v>1617</v>
      </c>
    </row>
    <row r="80" spans="40:75" x14ac:dyDescent="0.25">
      <c r="AN80" t="s">
        <v>4513</v>
      </c>
      <c r="AO80" t="s">
        <v>4546</v>
      </c>
    </row>
    <row r="81" spans="40:83" x14ac:dyDescent="0.25">
      <c r="AN81" t="s">
        <v>1618</v>
      </c>
      <c r="AO81" t="s">
        <v>1618</v>
      </c>
    </row>
    <row r="82" spans="40:83" x14ac:dyDescent="0.25">
      <c r="AN82" t="s">
        <v>4514</v>
      </c>
      <c r="AO82" t="s">
        <v>4547</v>
      </c>
    </row>
    <row r="83" spans="40:83" x14ac:dyDescent="0.25">
      <c r="AN83" t="s">
        <v>1619</v>
      </c>
      <c r="AO83" t="s">
        <v>1619</v>
      </c>
      <c r="CD83" s="9"/>
      <c r="CE83" s="9"/>
    </row>
    <row r="84" spans="40:83" x14ac:dyDescent="0.25">
      <c r="AN84" t="s">
        <v>4515</v>
      </c>
      <c r="AO84" t="s">
        <v>4548</v>
      </c>
      <c r="CE84" s="9"/>
    </row>
    <row r="85" spans="40:83" x14ac:dyDescent="0.25">
      <c r="AN85" t="s">
        <v>1620</v>
      </c>
      <c r="AO85" t="s">
        <v>1620</v>
      </c>
      <c r="CE85" s="9"/>
    </row>
    <row r="86" spans="40:83" x14ac:dyDescent="0.25">
      <c r="AN86" t="s">
        <v>4516</v>
      </c>
      <c r="AO86" t="s">
        <v>4549</v>
      </c>
      <c r="CE86" s="9"/>
    </row>
    <row r="87" spans="40:83" x14ac:dyDescent="0.25">
      <c r="AN87" t="s">
        <v>1621</v>
      </c>
      <c r="AO87" t="s">
        <v>1621</v>
      </c>
      <c r="CE87" s="9"/>
    </row>
    <row r="88" spans="40:83" x14ac:dyDescent="0.25">
      <c r="AN88" t="s">
        <v>1622</v>
      </c>
      <c r="AO88" t="s">
        <v>1622</v>
      </c>
      <c r="CE88" s="9"/>
    </row>
    <row r="89" spans="40:83" x14ac:dyDescent="0.25">
      <c r="AN89" t="s">
        <v>1623</v>
      </c>
      <c r="AO89" t="s">
        <v>1623</v>
      </c>
      <c r="CE89" s="9"/>
    </row>
    <row r="90" spans="40:83" x14ac:dyDescent="0.25">
      <c r="AN90" t="s">
        <v>1624</v>
      </c>
      <c r="AO90" t="s">
        <v>1624</v>
      </c>
      <c r="CE90" s="9"/>
    </row>
    <row r="91" spans="40:83" x14ac:dyDescent="0.25">
      <c r="AN91" t="s">
        <v>1625</v>
      </c>
      <c r="AO91" t="s">
        <v>1625</v>
      </c>
    </row>
    <row r="92" spans="40:83" x14ac:dyDescent="0.25">
      <c r="AN92" t="s">
        <v>1626</v>
      </c>
      <c r="AO92" t="s">
        <v>1626</v>
      </c>
    </row>
    <row r="93" spans="40:83" x14ac:dyDescent="0.25">
      <c r="AN93" t="s">
        <v>1627</v>
      </c>
      <c r="AO93" t="s">
        <v>1627</v>
      </c>
    </row>
    <row r="94" spans="40:83" x14ac:dyDescent="0.25">
      <c r="AN94" t="s">
        <v>1628</v>
      </c>
      <c r="AO94" t="s">
        <v>1628</v>
      </c>
    </row>
    <row r="95" spans="40:83" x14ac:dyDescent="0.25">
      <c r="AN95" t="s">
        <v>1629</v>
      </c>
      <c r="AO95" t="s">
        <v>1629</v>
      </c>
    </row>
    <row r="96" spans="40:83" x14ac:dyDescent="0.25">
      <c r="AN96" t="s">
        <v>1633</v>
      </c>
      <c r="AO96" t="s">
        <v>1633</v>
      </c>
    </row>
    <row r="97" spans="40:41" x14ac:dyDescent="0.25">
      <c r="AN97" t="s">
        <v>1630</v>
      </c>
      <c r="AO97" t="s">
        <v>1630</v>
      </c>
    </row>
    <row r="98" spans="40:41" x14ac:dyDescent="0.25">
      <c r="AN98" t="s">
        <v>1634</v>
      </c>
      <c r="AO98" t="s">
        <v>1634</v>
      </c>
    </row>
    <row r="99" spans="40:41" x14ac:dyDescent="0.25">
      <c r="AN99" t="s">
        <v>4336</v>
      </c>
      <c r="AO99" t="s">
        <v>4336</v>
      </c>
    </row>
    <row r="100" spans="40:41" x14ac:dyDescent="0.25">
      <c r="AN100" t="s">
        <v>1635</v>
      </c>
      <c r="AO100" t="s">
        <v>1635</v>
      </c>
    </row>
    <row r="101" spans="40:41" x14ac:dyDescent="0.25">
      <c r="AN101" t="s">
        <v>1636</v>
      </c>
      <c r="AO101" t="s">
        <v>1636</v>
      </c>
    </row>
    <row r="102" spans="40:41" x14ac:dyDescent="0.25">
      <c r="AN102" t="s">
        <v>1637</v>
      </c>
      <c r="AO102" t="s">
        <v>1637</v>
      </c>
    </row>
    <row r="103" spans="40:41" x14ac:dyDescent="0.25">
      <c r="AN103" t="s">
        <v>1638</v>
      </c>
      <c r="AO103" t="s">
        <v>1638</v>
      </c>
    </row>
    <row r="104" spans="40:41" x14ac:dyDescent="0.25">
      <c r="AN104" t="s">
        <v>1639</v>
      </c>
      <c r="AO104" t="s">
        <v>1639</v>
      </c>
    </row>
    <row r="105" spans="40:41" x14ac:dyDescent="0.25">
      <c r="AN105" t="s">
        <v>1640</v>
      </c>
      <c r="AO105" t="s">
        <v>1640</v>
      </c>
    </row>
    <row r="106" spans="40:41" x14ac:dyDescent="0.25">
      <c r="AN106" t="s">
        <v>1641</v>
      </c>
      <c r="AO106" t="s">
        <v>1641</v>
      </c>
    </row>
    <row r="107" spans="40:41" x14ac:dyDescent="0.25">
      <c r="AN107" t="s">
        <v>1642</v>
      </c>
      <c r="AO107" t="s">
        <v>1642</v>
      </c>
    </row>
    <row r="108" spans="40:41" x14ac:dyDescent="0.25">
      <c r="AN108" t="s">
        <v>1643</v>
      </c>
      <c r="AO108" t="s">
        <v>1643</v>
      </c>
    </row>
    <row r="109" spans="40:41" x14ac:dyDescent="0.25">
      <c r="AN109" t="s">
        <v>1644</v>
      </c>
      <c r="AO109" t="s">
        <v>1644</v>
      </c>
    </row>
    <row r="110" spans="40:41" x14ac:dyDescent="0.25">
      <c r="AN110" t="s">
        <v>1645</v>
      </c>
      <c r="AO110" t="s">
        <v>1645</v>
      </c>
    </row>
    <row r="111" spans="40:41" x14ac:dyDescent="0.25">
      <c r="AN111" t="s">
        <v>1646</v>
      </c>
      <c r="AO111" t="s">
        <v>1646</v>
      </c>
    </row>
    <row r="112" spans="40:41" x14ac:dyDescent="0.25">
      <c r="AN112" t="s">
        <v>1647</v>
      </c>
      <c r="AO112" t="s">
        <v>1647</v>
      </c>
    </row>
    <row r="113" spans="40:41" x14ac:dyDescent="0.25">
      <c r="AN113" t="s">
        <v>1648</v>
      </c>
      <c r="AO113" t="s">
        <v>1648</v>
      </c>
    </row>
    <row r="114" spans="40:41" x14ac:dyDescent="0.25">
      <c r="AN114" t="s">
        <v>1649</v>
      </c>
      <c r="AO114" t="s">
        <v>1649</v>
      </c>
    </row>
    <row r="115" spans="40:41" x14ac:dyDescent="0.25">
      <c r="AN115" t="s">
        <v>1650</v>
      </c>
      <c r="AO115" t="s">
        <v>1650</v>
      </c>
    </row>
    <row r="116" spans="40:41" x14ac:dyDescent="0.25">
      <c r="AN116" t="s">
        <v>1651</v>
      </c>
      <c r="AO116" t="s">
        <v>1651</v>
      </c>
    </row>
    <row r="117" spans="40:41" x14ac:dyDescent="0.25">
      <c r="AN117" t="s">
        <v>1652</v>
      </c>
      <c r="AO117" t="s">
        <v>1652</v>
      </c>
    </row>
    <row r="118" spans="40:41" x14ac:dyDescent="0.25">
      <c r="AN118" t="s">
        <v>1653</v>
      </c>
      <c r="AO118" t="s">
        <v>1653</v>
      </c>
    </row>
    <row r="119" spans="40:41" x14ac:dyDescent="0.25">
      <c r="AN119" t="s">
        <v>1654</v>
      </c>
      <c r="AO119" t="s">
        <v>1654</v>
      </c>
    </row>
    <row r="120" spans="40:41" x14ac:dyDescent="0.25">
      <c r="AN120" t="s">
        <v>1655</v>
      </c>
      <c r="AO120" t="s">
        <v>1655</v>
      </c>
    </row>
    <row r="121" spans="40:41" x14ac:dyDescent="0.25">
      <c r="AN121" t="s">
        <v>1656</v>
      </c>
      <c r="AO121" t="s">
        <v>1656</v>
      </c>
    </row>
    <row r="122" spans="40:41" x14ac:dyDescent="0.25">
      <c r="AN122" t="s">
        <v>1657</v>
      </c>
      <c r="AO122" t="s">
        <v>1657</v>
      </c>
    </row>
    <row r="123" spans="40:41" x14ac:dyDescent="0.25">
      <c r="AN123" t="s">
        <v>1658</v>
      </c>
      <c r="AO123" t="s">
        <v>1658</v>
      </c>
    </row>
    <row r="124" spans="40:41" x14ac:dyDescent="0.25">
      <c r="AN124" t="s">
        <v>1659</v>
      </c>
      <c r="AO124" t="s">
        <v>1659</v>
      </c>
    </row>
    <row r="125" spans="40:41" x14ac:dyDescent="0.25">
      <c r="AN125" t="s">
        <v>1660</v>
      </c>
      <c r="AO125" t="s">
        <v>1660</v>
      </c>
    </row>
    <row r="126" spans="40:41" x14ac:dyDescent="0.25">
      <c r="AN126" t="s">
        <v>1661</v>
      </c>
      <c r="AO126" t="s">
        <v>1661</v>
      </c>
    </row>
    <row r="127" spans="40:41" x14ac:dyDescent="0.25">
      <c r="AN127" t="s">
        <v>1662</v>
      </c>
      <c r="AO127" t="s">
        <v>1662</v>
      </c>
    </row>
    <row r="128" spans="40:41" x14ac:dyDescent="0.25">
      <c r="AN128" t="s">
        <v>1663</v>
      </c>
      <c r="AO128" t="s">
        <v>1663</v>
      </c>
    </row>
    <row r="129" spans="40:41" x14ac:dyDescent="0.25">
      <c r="AN129" t="s">
        <v>1664</v>
      </c>
      <c r="AO129" t="s">
        <v>1664</v>
      </c>
    </row>
    <row r="130" spans="40:41" x14ac:dyDescent="0.25">
      <c r="AN130" t="s">
        <v>1665</v>
      </c>
      <c r="AO130" t="s">
        <v>1665</v>
      </c>
    </row>
    <row r="131" spans="40:41" x14ac:dyDescent="0.25">
      <c r="AN131" t="s">
        <v>1666</v>
      </c>
      <c r="AO131" t="s">
        <v>1666</v>
      </c>
    </row>
    <row r="132" spans="40:41" x14ac:dyDescent="0.25">
      <c r="AN132" t="s">
        <v>1667</v>
      </c>
      <c r="AO132" t="s">
        <v>1667</v>
      </c>
    </row>
    <row r="133" spans="40:41" x14ac:dyDescent="0.25">
      <c r="AN133" t="s">
        <v>1668</v>
      </c>
      <c r="AO133" t="s">
        <v>1668</v>
      </c>
    </row>
    <row r="134" spans="40:41" x14ac:dyDescent="0.25">
      <c r="AN134" t="s">
        <v>1669</v>
      </c>
      <c r="AO134" t="s">
        <v>1669</v>
      </c>
    </row>
    <row r="135" spans="40:41" x14ac:dyDescent="0.25">
      <c r="AN135" t="s">
        <v>1670</v>
      </c>
      <c r="AO135" t="s">
        <v>1670</v>
      </c>
    </row>
    <row r="136" spans="40:41" x14ac:dyDescent="0.25">
      <c r="AN136" t="s">
        <v>1671</v>
      </c>
      <c r="AO136" t="s">
        <v>1671</v>
      </c>
    </row>
    <row r="137" spans="40:41" x14ac:dyDescent="0.25">
      <c r="AN137" t="s">
        <v>1672</v>
      </c>
      <c r="AO137" t="s">
        <v>1672</v>
      </c>
    </row>
    <row r="138" spans="40:41" x14ac:dyDescent="0.25">
      <c r="AN138" t="s">
        <v>1673</v>
      </c>
      <c r="AO138" t="s">
        <v>1673</v>
      </c>
    </row>
    <row r="139" spans="40:41" x14ac:dyDescent="0.25">
      <c r="AN139" t="s">
        <v>1674</v>
      </c>
      <c r="AO139" t="s">
        <v>1674</v>
      </c>
    </row>
    <row r="140" spans="40:41" x14ac:dyDescent="0.25">
      <c r="AN140" t="s">
        <v>1675</v>
      </c>
      <c r="AO140" t="s">
        <v>1675</v>
      </c>
    </row>
    <row r="141" spans="40:41" x14ac:dyDescent="0.25">
      <c r="AN141" t="s">
        <v>1676</v>
      </c>
      <c r="AO141" t="s">
        <v>1676</v>
      </c>
    </row>
    <row r="142" spans="40:41" x14ac:dyDescent="0.25">
      <c r="AN142" t="s">
        <v>1677</v>
      </c>
      <c r="AO142" t="s">
        <v>1677</v>
      </c>
    </row>
    <row r="143" spans="40:41" x14ac:dyDescent="0.25">
      <c r="AN143" t="s">
        <v>1678</v>
      </c>
      <c r="AO143" t="s">
        <v>1678</v>
      </c>
    </row>
    <row r="144" spans="40:41" x14ac:dyDescent="0.25">
      <c r="AN144" t="s">
        <v>1679</v>
      </c>
      <c r="AO144" t="s">
        <v>1679</v>
      </c>
    </row>
    <row r="145" spans="40:41" x14ac:dyDescent="0.25">
      <c r="AN145" t="s">
        <v>1680</v>
      </c>
      <c r="AO145" t="s">
        <v>1680</v>
      </c>
    </row>
    <row r="146" spans="40:41" x14ac:dyDescent="0.25">
      <c r="AN146" t="s">
        <v>1681</v>
      </c>
      <c r="AO146" t="s">
        <v>1681</v>
      </c>
    </row>
    <row r="147" spans="40:41" x14ac:dyDescent="0.25">
      <c r="AN147" t="s">
        <v>1682</v>
      </c>
      <c r="AO147" t="s">
        <v>1682</v>
      </c>
    </row>
    <row r="148" spans="40:41" x14ac:dyDescent="0.25">
      <c r="AN148" t="s">
        <v>1683</v>
      </c>
      <c r="AO148" t="s">
        <v>1683</v>
      </c>
    </row>
    <row r="149" spans="40:41" x14ac:dyDescent="0.25">
      <c r="AN149" t="s">
        <v>1684</v>
      </c>
      <c r="AO149" t="s">
        <v>1684</v>
      </c>
    </row>
    <row r="150" spans="40:41" x14ac:dyDescent="0.25">
      <c r="AN150" t="s">
        <v>1685</v>
      </c>
      <c r="AO150" t="s">
        <v>1685</v>
      </c>
    </row>
    <row r="151" spans="40:41" x14ac:dyDescent="0.25">
      <c r="AN151" t="s">
        <v>1686</v>
      </c>
      <c r="AO151" t="s">
        <v>1686</v>
      </c>
    </row>
    <row r="152" spans="40:41" x14ac:dyDescent="0.25">
      <c r="AN152" t="s">
        <v>1687</v>
      </c>
      <c r="AO152" t="s">
        <v>1687</v>
      </c>
    </row>
    <row r="153" spans="40:41" x14ac:dyDescent="0.25">
      <c r="AN153" t="s">
        <v>1688</v>
      </c>
      <c r="AO153" t="s">
        <v>1688</v>
      </c>
    </row>
    <row r="154" spans="40:41" x14ac:dyDescent="0.25">
      <c r="AN154" t="s">
        <v>1689</v>
      </c>
      <c r="AO154" t="s">
        <v>1689</v>
      </c>
    </row>
    <row r="155" spans="40:41" x14ac:dyDescent="0.25">
      <c r="AN155" t="s">
        <v>1690</v>
      </c>
      <c r="AO155" t="s">
        <v>1690</v>
      </c>
    </row>
    <row r="156" spans="40:41" x14ac:dyDescent="0.25">
      <c r="AN156" t="s">
        <v>1691</v>
      </c>
      <c r="AO156" t="s">
        <v>1691</v>
      </c>
    </row>
    <row r="157" spans="40:41" x14ac:dyDescent="0.25">
      <c r="AN157" t="s">
        <v>1692</v>
      </c>
      <c r="AO157" t="s">
        <v>1692</v>
      </c>
    </row>
    <row r="158" spans="40:41" x14ac:dyDescent="0.25">
      <c r="AN158" t="s">
        <v>1693</v>
      </c>
      <c r="AO158" t="s">
        <v>1693</v>
      </c>
    </row>
    <row r="159" spans="40:41" x14ac:dyDescent="0.25">
      <c r="AN159" t="s">
        <v>1694</v>
      </c>
      <c r="AO159" t="s">
        <v>1694</v>
      </c>
    </row>
    <row r="160" spans="40:41" x14ac:dyDescent="0.25">
      <c r="AN160" t="s">
        <v>1695</v>
      </c>
      <c r="AO160" t="s">
        <v>1695</v>
      </c>
    </row>
    <row r="161" spans="40:41" x14ac:dyDescent="0.25">
      <c r="AN161" t="s">
        <v>1696</v>
      </c>
      <c r="AO161" t="s">
        <v>1696</v>
      </c>
    </row>
    <row r="162" spans="40:41" x14ac:dyDescent="0.25">
      <c r="AN162" t="s">
        <v>1697</v>
      </c>
      <c r="AO162" t="s">
        <v>1697</v>
      </c>
    </row>
    <row r="163" spans="40:41" x14ac:dyDescent="0.25">
      <c r="AN163" t="s">
        <v>1698</v>
      </c>
      <c r="AO163" t="s">
        <v>1698</v>
      </c>
    </row>
    <row r="164" spans="40:41" x14ac:dyDescent="0.25">
      <c r="AN164" t="s">
        <v>1699</v>
      </c>
      <c r="AO164" t="s">
        <v>1699</v>
      </c>
    </row>
    <row r="165" spans="40:41" x14ac:dyDescent="0.25">
      <c r="AN165" t="s">
        <v>1700</v>
      </c>
      <c r="AO165" t="s">
        <v>1700</v>
      </c>
    </row>
    <row r="166" spans="40:41" x14ac:dyDescent="0.25">
      <c r="AN166" t="s">
        <v>1701</v>
      </c>
      <c r="AO166" t="s">
        <v>1701</v>
      </c>
    </row>
    <row r="167" spans="40:41" x14ac:dyDescent="0.25">
      <c r="AN167" t="s">
        <v>1702</v>
      </c>
      <c r="AO167" t="s">
        <v>1702</v>
      </c>
    </row>
    <row r="168" spans="40:41" x14ac:dyDescent="0.25">
      <c r="AN168" t="s">
        <v>1703</v>
      </c>
      <c r="AO168" t="s">
        <v>1703</v>
      </c>
    </row>
    <row r="169" spans="40:41" x14ac:dyDescent="0.25">
      <c r="AN169" t="s">
        <v>1704</v>
      </c>
      <c r="AO169" t="s">
        <v>1704</v>
      </c>
    </row>
    <row r="170" spans="40:41" x14ac:dyDescent="0.25">
      <c r="AN170" t="s">
        <v>1705</v>
      </c>
      <c r="AO170" t="s">
        <v>1705</v>
      </c>
    </row>
    <row r="171" spans="40:41" x14ac:dyDescent="0.25">
      <c r="AN171" t="s">
        <v>1706</v>
      </c>
      <c r="AO171" t="s">
        <v>1706</v>
      </c>
    </row>
    <row r="172" spans="40:41" x14ac:dyDescent="0.25">
      <c r="AN172" t="s">
        <v>1707</v>
      </c>
      <c r="AO172" t="s">
        <v>1707</v>
      </c>
    </row>
    <row r="173" spans="40:41" x14ac:dyDescent="0.25">
      <c r="AN173" t="s">
        <v>1708</v>
      </c>
      <c r="AO173" t="s">
        <v>1708</v>
      </c>
    </row>
    <row r="174" spans="40:41" x14ac:dyDescent="0.25">
      <c r="AN174" t="s">
        <v>1709</v>
      </c>
      <c r="AO174" t="s">
        <v>1709</v>
      </c>
    </row>
    <row r="175" spans="40:41" x14ac:dyDescent="0.25">
      <c r="AN175" t="s">
        <v>1710</v>
      </c>
      <c r="AO175" t="s">
        <v>1710</v>
      </c>
    </row>
    <row r="176" spans="40:41" x14ac:dyDescent="0.25">
      <c r="AN176" t="s">
        <v>1711</v>
      </c>
      <c r="AO176" t="s">
        <v>1711</v>
      </c>
    </row>
    <row r="177" spans="40:41" x14ac:dyDescent="0.25">
      <c r="AN177" t="s">
        <v>1712</v>
      </c>
      <c r="AO177" t="s">
        <v>1712</v>
      </c>
    </row>
    <row r="178" spans="40:41" x14ac:dyDescent="0.25">
      <c r="AN178" t="s">
        <v>1713</v>
      </c>
      <c r="AO178" t="s">
        <v>1713</v>
      </c>
    </row>
    <row r="179" spans="40:41" x14ac:dyDescent="0.25">
      <c r="AN179" t="s">
        <v>1714</v>
      </c>
      <c r="AO179" t="s">
        <v>1714</v>
      </c>
    </row>
    <row r="180" spans="40:41" x14ac:dyDescent="0.25">
      <c r="AN180" t="s">
        <v>1715</v>
      </c>
      <c r="AO180" t="s">
        <v>1715</v>
      </c>
    </row>
    <row r="181" spans="40:41" x14ac:dyDescent="0.25">
      <c r="AN181" t="s">
        <v>1716</v>
      </c>
      <c r="AO181" t="s">
        <v>1716</v>
      </c>
    </row>
    <row r="182" spans="40:41" x14ac:dyDescent="0.25">
      <c r="AN182" t="s">
        <v>1717</v>
      </c>
      <c r="AO182" t="s">
        <v>1717</v>
      </c>
    </row>
    <row r="183" spans="40:41" x14ac:dyDescent="0.25">
      <c r="AN183" t="s">
        <v>1718</v>
      </c>
      <c r="AO183" t="s">
        <v>1718</v>
      </c>
    </row>
    <row r="184" spans="40:41" x14ac:dyDescent="0.25">
      <c r="AN184" t="s">
        <v>1719</v>
      </c>
      <c r="AO184" t="s">
        <v>1719</v>
      </c>
    </row>
    <row r="185" spans="40:41" x14ac:dyDescent="0.25">
      <c r="AN185" t="s">
        <v>1720</v>
      </c>
      <c r="AO185" t="s">
        <v>1720</v>
      </c>
    </row>
    <row r="186" spans="40:41" x14ac:dyDescent="0.25">
      <c r="AN186" t="s">
        <v>1721</v>
      </c>
      <c r="AO186" t="s">
        <v>1721</v>
      </c>
    </row>
    <row r="187" spans="40:41" x14ac:dyDescent="0.25">
      <c r="AN187" t="s">
        <v>1722</v>
      </c>
      <c r="AO187" t="s">
        <v>1722</v>
      </c>
    </row>
    <row r="188" spans="40:41" x14ac:dyDescent="0.25">
      <c r="AN188" t="s">
        <v>1723</v>
      </c>
      <c r="AO188" t="s">
        <v>1723</v>
      </c>
    </row>
    <row r="189" spans="40:41" x14ac:dyDescent="0.25">
      <c r="AN189" t="s">
        <v>1724</v>
      </c>
      <c r="AO189" t="s">
        <v>1724</v>
      </c>
    </row>
    <row r="190" spans="40:41" x14ac:dyDescent="0.25">
      <c r="AN190" t="s">
        <v>1725</v>
      </c>
      <c r="AO190" t="s">
        <v>1725</v>
      </c>
    </row>
    <row r="191" spans="40:41" x14ac:dyDescent="0.25">
      <c r="AN191" t="s">
        <v>1726</v>
      </c>
      <c r="AO191" t="s">
        <v>1726</v>
      </c>
    </row>
    <row r="192" spans="40:41" x14ac:dyDescent="0.25">
      <c r="AN192" t="s">
        <v>1727</v>
      </c>
      <c r="AO192" t="s">
        <v>1727</v>
      </c>
    </row>
    <row r="193" spans="40:41" x14ac:dyDescent="0.25">
      <c r="AN193" t="s">
        <v>1728</v>
      </c>
      <c r="AO193" t="s">
        <v>1728</v>
      </c>
    </row>
    <row r="194" spans="40:41" x14ac:dyDescent="0.25">
      <c r="AN194" t="s">
        <v>1729</v>
      </c>
      <c r="AO194" t="s">
        <v>1729</v>
      </c>
    </row>
    <row r="195" spans="40:41" x14ac:dyDescent="0.25">
      <c r="AN195" t="s">
        <v>1730</v>
      </c>
      <c r="AO195" t="s">
        <v>1730</v>
      </c>
    </row>
    <row r="196" spans="40:41" x14ac:dyDescent="0.25">
      <c r="AN196" t="s">
        <v>1731</v>
      </c>
      <c r="AO196" t="s">
        <v>1731</v>
      </c>
    </row>
    <row r="197" spans="40:41" x14ac:dyDescent="0.25">
      <c r="AN197" t="s">
        <v>1732</v>
      </c>
      <c r="AO197" t="s">
        <v>1732</v>
      </c>
    </row>
    <row r="198" spans="40:41" x14ac:dyDescent="0.25">
      <c r="AN198" t="s">
        <v>4335</v>
      </c>
      <c r="AO198" t="s">
        <v>4335</v>
      </c>
    </row>
  </sheetData>
  <hyperlinks>
    <hyperlink ref="A1" location="contents!A1" display="Contents" xr:uid="{00000000-0004-0000-1A00-000000000000}"/>
    <hyperlink ref="B1" location="contents!A1" display="Contents" xr:uid="{00000000-0004-0000-1A00-000001000000}"/>
    <hyperlink ref="C1" location="contents!A1" display="Contents" xr:uid="{00000000-0004-0000-1A00-000002000000}"/>
    <hyperlink ref="D1" location="contents!A1" display="Contents" xr:uid="{00000000-0004-0000-1A00-000003000000}"/>
    <hyperlink ref="E1" location="contents!A1" display="Contents" xr:uid="{00000000-0004-0000-1A00-000004000000}"/>
    <hyperlink ref="F1" location="contents!A1" display="Contents" xr:uid="{00000000-0004-0000-1A00-000005000000}"/>
    <hyperlink ref="G1" location="contents!A1" display="Contents" xr:uid="{00000000-0004-0000-1A00-000006000000}"/>
    <hyperlink ref="H1" location="contents!A1" display="Contents" xr:uid="{00000000-0004-0000-1A00-000007000000}"/>
    <hyperlink ref="I1" location="contents!A1" display="Contents" xr:uid="{00000000-0004-0000-1A00-000008000000}"/>
    <hyperlink ref="J1" location="contents!A1" display="Contents" xr:uid="{00000000-0004-0000-1A00-000009000000}"/>
    <hyperlink ref="K1" location="contents!A1" display="Contents" xr:uid="{00000000-0004-0000-1A00-00000A000000}"/>
    <hyperlink ref="L1" location="contents!A1" display="Contents" xr:uid="{00000000-0004-0000-1A00-00000B000000}"/>
    <hyperlink ref="M1" location="contents!A1" display="Contents" xr:uid="{00000000-0004-0000-1A00-00000C000000}"/>
    <hyperlink ref="N1" location="contents!A1" display="Contents" xr:uid="{00000000-0004-0000-1A00-00000D000000}"/>
    <hyperlink ref="O1" location="contents!A1" display="Contents" xr:uid="{00000000-0004-0000-1A00-00000E000000}"/>
    <hyperlink ref="P1" location="contents!A1" display="Contents" xr:uid="{00000000-0004-0000-1A00-00000F000000}"/>
    <hyperlink ref="Q1" location="contents!A1" display="Contents" xr:uid="{00000000-0004-0000-1A00-000010000000}"/>
    <hyperlink ref="R1" location="contents!A1" display="Contents" xr:uid="{00000000-0004-0000-1A00-000011000000}"/>
    <hyperlink ref="S1" location="contents!A1" display="Contents" xr:uid="{00000000-0004-0000-1A00-000012000000}"/>
    <hyperlink ref="T1" location="contents!A1" display="Contents" xr:uid="{00000000-0004-0000-1A00-000013000000}"/>
    <hyperlink ref="U1" location="contents!A1" display="Contents" xr:uid="{00000000-0004-0000-1A00-000014000000}"/>
    <hyperlink ref="V1" location="contents!A1" display="Contents" xr:uid="{00000000-0004-0000-1A00-000015000000}"/>
    <hyperlink ref="W1" location="contents!A1" display="Contents" xr:uid="{00000000-0004-0000-1A00-000016000000}"/>
    <hyperlink ref="X1" location="contents!A1" display="Contents" xr:uid="{00000000-0004-0000-1A00-000017000000}"/>
    <hyperlink ref="Y1" location="contents!A1" display="Contents" xr:uid="{00000000-0004-0000-1A00-000018000000}"/>
    <hyperlink ref="Z1" location="contents!A1" display="Contents" xr:uid="{00000000-0004-0000-1A00-000019000000}"/>
    <hyperlink ref="AA1" location="contents!A1" display="Contents" xr:uid="{00000000-0004-0000-1A00-00001A000000}"/>
    <hyperlink ref="AB1" location="contents!A1" display="Contents" xr:uid="{00000000-0004-0000-1A00-00001B000000}"/>
    <hyperlink ref="AC1" location="contents!A1" display="Contents" xr:uid="{00000000-0004-0000-1A00-00001C000000}"/>
    <hyperlink ref="AD1" location="contents!A1" display="Contents" xr:uid="{00000000-0004-0000-1A00-00001D000000}"/>
    <hyperlink ref="AE1" location="contents!A1" display="Contents" xr:uid="{00000000-0004-0000-1A00-00001E000000}"/>
    <hyperlink ref="AF1" location="contents!A1" display="Contents" xr:uid="{00000000-0004-0000-1A00-00001F000000}"/>
    <hyperlink ref="AG1" location="contents!A1" display="Contents" xr:uid="{00000000-0004-0000-1A00-000020000000}"/>
    <hyperlink ref="AH1" location="contents!A1" display="Contents" xr:uid="{00000000-0004-0000-1A00-000021000000}"/>
    <hyperlink ref="AI1" location="contents!A1" display="Contents" xr:uid="{00000000-0004-0000-1A00-000022000000}"/>
    <hyperlink ref="AJ1" location="contents!A1" display="Contents" xr:uid="{00000000-0004-0000-1A00-000023000000}"/>
    <hyperlink ref="AK1" location="contents!A1" display="Contents" xr:uid="{00000000-0004-0000-1A00-000024000000}"/>
    <hyperlink ref="AL1" location="contents!A1" display="Contents" xr:uid="{00000000-0004-0000-1A00-000025000000}"/>
    <hyperlink ref="AM1" location="contents!A1" display="Contents" xr:uid="{00000000-0004-0000-1A00-000026000000}"/>
    <hyperlink ref="AN1" location="contents!A1" display="Contents" xr:uid="{00000000-0004-0000-1A00-000027000000}"/>
    <hyperlink ref="AO1" location="contents!A1" display="Contents" xr:uid="{00000000-0004-0000-1A00-000028000000}"/>
    <hyperlink ref="AP1" location="contents!A1" display="Contents" xr:uid="{00000000-0004-0000-1A00-000029000000}"/>
    <hyperlink ref="AQ1" location="contents!A1" display="Contents" xr:uid="{00000000-0004-0000-1A00-00002A000000}"/>
    <hyperlink ref="AR1" location="contents!A1" display="Contents" xr:uid="{00000000-0004-0000-1A00-00002B000000}"/>
    <hyperlink ref="AS1" location="contents!A1" display="Contents" xr:uid="{00000000-0004-0000-1A00-00002C000000}"/>
    <hyperlink ref="AT1" location="contents!A1" display="Contents" xr:uid="{00000000-0004-0000-1A00-00002D000000}"/>
    <hyperlink ref="AU1" location="contents!A1" display="Contents" xr:uid="{00000000-0004-0000-1A00-00002E000000}"/>
    <hyperlink ref="AV1" location="contents!A1" display="Contents" xr:uid="{00000000-0004-0000-1A00-00002F000000}"/>
    <hyperlink ref="AW1" location="contents!A1" display="Contents" xr:uid="{00000000-0004-0000-1A00-000030000000}"/>
    <hyperlink ref="AX1" location="contents!A1" display="Contents" xr:uid="{00000000-0004-0000-1A00-000031000000}"/>
    <hyperlink ref="AY1" location="contents!A1" display="Contents" xr:uid="{00000000-0004-0000-1A00-000032000000}"/>
    <hyperlink ref="AZ1" location="contents!A1" display="Contents" xr:uid="{00000000-0004-0000-1A00-000033000000}"/>
    <hyperlink ref="BA1" location="contents!A1" display="Contents" xr:uid="{00000000-0004-0000-1A00-000034000000}"/>
    <hyperlink ref="BB1" location="contents!A1" display="Contents" xr:uid="{00000000-0004-0000-1A00-000035000000}"/>
    <hyperlink ref="BC1" location="contents!A1" display="Contents" xr:uid="{00000000-0004-0000-1A00-000036000000}"/>
    <hyperlink ref="BD1" location="contents!A1" display="Contents" xr:uid="{00000000-0004-0000-1A00-000037000000}"/>
    <hyperlink ref="BE1" location="contents!A1" display="Contents" xr:uid="{00000000-0004-0000-1A00-000038000000}"/>
    <hyperlink ref="BF1" location="contents!A1" display="Contents" xr:uid="{00000000-0004-0000-1A00-000039000000}"/>
    <hyperlink ref="BG1" location="contents!A1" display="Contents" xr:uid="{00000000-0004-0000-1A00-00003A000000}"/>
    <hyperlink ref="BH1" location="contents!A1" display="Contents" xr:uid="{00000000-0004-0000-1A00-00003B000000}"/>
    <hyperlink ref="BI1" location="contents!A1" display="Contents" xr:uid="{00000000-0004-0000-1A00-00003C000000}"/>
    <hyperlink ref="BJ1" location="contents!A1" display="Contents" xr:uid="{00000000-0004-0000-1A00-00003D000000}"/>
    <hyperlink ref="BK1" location="contents!A1" display="Contents" xr:uid="{00000000-0004-0000-1A00-00003E000000}"/>
    <hyperlink ref="BL1" location="contents!A1" display="Contents" xr:uid="{00000000-0004-0000-1A00-00003F000000}"/>
    <hyperlink ref="BM1" location="contents!A1" display="Contents" xr:uid="{00000000-0004-0000-1A00-000040000000}"/>
    <hyperlink ref="BN1" location="contents!A1" display="Contents" xr:uid="{00000000-0004-0000-1A00-000041000000}"/>
    <hyperlink ref="BO1" location="contents!A1" display="Contents" xr:uid="{00000000-0004-0000-1A00-000042000000}"/>
    <hyperlink ref="BP1" location="contents!A1" display="Contents" xr:uid="{00000000-0004-0000-1A00-000043000000}"/>
    <hyperlink ref="BQ1" location="contents!A1" display="Contents" xr:uid="{00000000-0004-0000-1A00-000044000000}"/>
    <hyperlink ref="BR1" location="contents!A1" display="Contents" xr:uid="{00000000-0004-0000-1A00-000045000000}"/>
    <hyperlink ref="BS1" location="contents!A1" display="Contents" xr:uid="{00000000-0004-0000-1A00-000046000000}"/>
    <hyperlink ref="BT1" location="contents!A1" display="Contents" xr:uid="{00000000-0004-0000-1A00-000047000000}"/>
    <hyperlink ref="BU1" location="contents!A1" display="Contents" xr:uid="{00000000-0004-0000-1A00-000048000000}"/>
    <hyperlink ref="BV1" location="contents!A1" display="Contents" xr:uid="{00000000-0004-0000-1A00-000049000000}"/>
    <hyperlink ref="BW1" location="contents!A1" display="Contents" xr:uid="{00000000-0004-0000-1A00-00004A000000}"/>
    <hyperlink ref="BX1" location="contents!A1" display="Contents" xr:uid="{00000000-0004-0000-1A00-00004B000000}"/>
    <hyperlink ref="BY1" location="contents!A1" display="Contents" xr:uid="{00000000-0004-0000-1A00-00004C000000}"/>
    <hyperlink ref="BZ1" location="contents!A1" display="Contents" xr:uid="{00000000-0004-0000-1A00-00004D000000}"/>
    <hyperlink ref="CA1" location="contents!A1" display="Contents" xr:uid="{00000000-0004-0000-1A00-00004E000000}"/>
    <hyperlink ref="CB1" location="contents!A1" display="Contents" xr:uid="{00000000-0004-0000-1A00-00004F000000}"/>
    <hyperlink ref="CC1" location="contents!A1" display="Contents" xr:uid="{00000000-0004-0000-1A00-000050000000}"/>
    <hyperlink ref="B2" location="report_columns_links!A1" display="Column links" xr:uid="{00000000-0004-0000-1A00-000051000000}"/>
    <hyperlink ref="C2" location="report_columns_links!A1" display="Column links" xr:uid="{00000000-0004-0000-1A00-000052000000}"/>
    <hyperlink ref="D2" location="report_columns_links!A1" display="Column links" xr:uid="{00000000-0004-0000-1A00-000053000000}"/>
    <hyperlink ref="E2" location="report_columns_links!A1" display="Column links" xr:uid="{00000000-0004-0000-1A00-000054000000}"/>
    <hyperlink ref="F2" location="report_columns_links!A1" display="Column links" xr:uid="{00000000-0004-0000-1A00-000055000000}"/>
    <hyperlink ref="G2" location="report_columns_links!A1" display="Column links" xr:uid="{00000000-0004-0000-1A00-000056000000}"/>
    <hyperlink ref="H2" location="report_columns_links!A1" display="Column links" xr:uid="{00000000-0004-0000-1A00-000057000000}"/>
    <hyperlink ref="I2" location="report_columns_links!A1" display="Column links" xr:uid="{00000000-0004-0000-1A00-000058000000}"/>
    <hyperlink ref="J2" location="report_columns_links!A1" display="Column links" xr:uid="{00000000-0004-0000-1A00-000059000000}"/>
    <hyperlink ref="K2" location="report_columns_links!A1" display="Column links" xr:uid="{00000000-0004-0000-1A00-00005A000000}"/>
    <hyperlink ref="L2" location="report_columns_links!A1" display="Column links" xr:uid="{00000000-0004-0000-1A00-00005B000000}"/>
    <hyperlink ref="M2" location="report_columns_links!A1" display="Column links" xr:uid="{00000000-0004-0000-1A00-00005C000000}"/>
    <hyperlink ref="N2" location="report_columns_links!A1" display="Column links" xr:uid="{00000000-0004-0000-1A00-00005D000000}"/>
    <hyperlink ref="O2" location="report_columns_links!A1" display="Column links" xr:uid="{00000000-0004-0000-1A00-00005E000000}"/>
    <hyperlink ref="P2" location="report_columns_links!A1" display="Column links" xr:uid="{00000000-0004-0000-1A00-00005F000000}"/>
    <hyperlink ref="Q2" location="report_columns_links!A1" display="Column links" xr:uid="{00000000-0004-0000-1A00-000060000000}"/>
    <hyperlink ref="R2" location="report_columns_links!A1" display="Column links" xr:uid="{00000000-0004-0000-1A00-000061000000}"/>
    <hyperlink ref="S2" location="report_columns_links!A1" display="Column links" xr:uid="{00000000-0004-0000-1A00-000062000000}"/>
    <hyperlink ref="T2" location="report_columns_links!A1" display="Column links" xr:uid="{00000000-0004-0000-1A00-000063000000}"/>
    <hyperlink ref="U2" location="report_columns_links!A1" display="Column links" xr:uid="{00000000-0004-0000-1A00-000064000000}"/>
    <hyperlink ref="V2" location="report_columns_links!A1" display="Column links" xr:uid="{00000000-0004-0000-1A00-000065000000}"/>
    <hyperlink ref="W2" location="report_columns_links!A1" display="Column links" xr:uid="{00000000-0004-0000-1A00-000066000000}"/>
    <hyperlink ref="X2" location="report_columns_links!A1" display="Column links" xr:uid="{00000000-0004-0000-1A00-000067000000}"/>
    <hyperlink ref="Y2" location="report_columns_links!A1" display="Column links" xr:uid="{00000000-0004-0000-1A00-000068000000}"/>
    <hyperlink ref="Z2" location="report_columns_links!A1" display="Column links" xr:uid="{00000000-0004-0000-1A00-000069000000}"/>
    <hyperlink ref="AA2" location="report_columns_links!A1" display="Column links" xr:uid="{00000000-0004-0000-1A00-00006A000000}"/>
    <hyperlink ref="AB2" location="report_columns_links!A1" display="Column links" xr:uid="{00000000-0004-0000-1A00-00006B000000}"/>
    <hyperlink ref="AC2" location="report_columns_links!A1" display="Column links" xr:uid="{00000000-0004-0000-1A00-00006C000000}"/>
    <hyperlink ref="AD2" location="report_columns_links!A1" display="Column links" xr:uid="{00000000-0004-0000-1A00-00006D000000}"/>
    <hyperlink ref="AE2" location="report_columns_links!A1" display="Column links" xr:uid="{00000000-0004-0000-1A00-00006E000000}"/>
    <hyperlink ref="AF2" location="report_columns_links!A1" display="Column links" xr:uid="{00000000-0004-0000-1A00-00006F000000}"/>
    <hyperlink ref="AG2" location="report_columns_links!A1" display="Column links" xr:uid="{00000000-0004-0000-1A00-000070000000}"/>
    <hyperlink ref="AH2" location="report_columns_links!A1" display="Column links" xr:uid="{00000000-0004-0000-1A00-000071000000}"/>
    <hyperlink ref="AI2" location="report_columns_links!A1" display="Column links" xr:uid="{00000000-0004-0000-1A00-000072000000}"/>
    <hyperlink ref="AJ2" location="report_columns_links!A1" display="Column links" xr:uid="{00000000-0004-0000-1A00-000073000000}"/>
    <hyperlink ref="AK2" location="report_columns_links!A1" display="Column links" xr:uid="{00000000-0004-0000-1A00-000074000000}"/>
    <hyperlink ref="AL2" location="report_columns_links!A1" display="Column links" xr:uid="{00000000-0004-0000-1A00-000075000000}"/>
    <hyperlink ref="AM2" location="report_columns_links!A1" display="Column links" xr:uid="{00000000-0004-0000-1A00-000076000000}"/>
    <hyperlink ref="AN2" location="report_columns_links!A1" display="Column links" xr:uid="{00000000-0004-0000-1A00-000077000000}"/>
    <hyperlink ref="AO2" location="report_columns_links!A1" display="Column links" xr:uid="{00000000-0004-0000-1A00-000078000000}"/>
    <hyperlink ref="AP2" location="report_columns_links!A1" display="Column links" xr:uid="{00000000-0004-0000-1A00-000079000000}"/>
    <hyperlink ref="AQ2" location="report_columns_links!A1" display="Column links" xr:uid="{00000000-0004-0000-1A00-00007A000000}"/>
    <hyperlink ref="AR2" location="report_columns_links!A1" display="Column links" xr:uid="{00000000-0004-0000-1A00-00007B000000}"/>
    <hyperlink ref="AS2" location="report_columns_links!A1" display="Column links" xr:uid="{00000000-0004-0000-1A00-00007C000000}"/>
    <hyperlink ref="AT2" location="report_columns_links!A1" display="Column links" xr:uid="{00000000-0004-0000-1A00-00007D000000}"/>
    <hyperlink ref="AU2" location="report_columns_links!A1" display="Column links" xr:uid="{00000000-0004-0000-1A00-00007E000000}"/>
    <hyperlink ref="AV2" location="report_columns_links!A1" display="Column links" xr:uid="{00000000-0004-0000-1A00-00007F000000}"/>
    <hyperlink ref="AW2" location="report_columns_links!A1" display="Column links" xr:uid="{00000000-0004-0000-1A00-000080000000}"/>
    <hyperlink ref="AX2" location="report_columns_links!A1" display="Column links" xr:uid="{00000000-0004-0000-1A00-000081000000}"/>
    <hyperlink ref="AY2" location="report_columns_links!A1" display="Column links" xr:uid="{00000000-0004-0000-1A00-000082000000}"/>
    <hyperlink ref="AZ2" location="report_columns_links!A1" display="Column links" xr:uid="{00000000-0004-0000-1A00-000083000000}"/>
    <hyperlink ref="BA2" location="report_columns_links!A1" display="Column links" xr:uid="{00000000-0004-0000-1A00-000084000000}"/>
    <hyperlink ref="BB2" location="report_columns_links!A1" display="Column links" xr:uid="{00000000-0004-0000-1A00-000085000000}"/>
    <hyperlink ref="BC2" location="report_columns_links!A1" display="Column links" xr:uid="{00000000-0004-0000-1A00-000086000000}"/>
    <hyperlink ref="BD2" location="report_columns_links!A1" display="Column links" xr:uid="{00000000-0004-0000-1A00-000087000000}"/>
    <hyperlink ref="BE2" location="report_columns_links!A1" display="Column links" xr:uid="{00000000-0004-0000-1A00-000088000000}"/>
    <hyperlink ref="BF2" location="report_columns_links!A1" display="Column links" xr:uid="{00000000-0004-0000-1A00-000089000000}"/>
    <hyperlink ref="BG2" location="report_columns_links!A1" display="Column links" xr:uid="{00000000-0004-0000-1A00-00008A000000}"/>
    <hyperlink ref="BH2" location="report_columns_links!A1" display="Column links" xr:uid="{00000000-0004-0000-1A00-00008B000000}"/>
    <hyperlink ref="BI2" location="report_columns_links!A1" display="Column links" xr:uid="{00000000-0004-0000-1A00-00008C000000}"/>
    <hyperlink ref="BJ2" location="report_columns_links!A1" display="Column links" xr:uid="{00000000-0004-0000-1A00-00008D000000}"/>
    <hyperlink ref="BK2" location="report_columns_links!A1" display="Column links" xr:uid="{00000000-0004-0000-1A00-00008E000000}"/>
    <hyperlink ref="BL2" location="report_columns_links!A1" display="Column links" xr:uid="{00000000-0004-0000-1A00-00008F000000}"/>
    <hyperlink ref="BM2" location="report_columns_links!A1" display="Column links" xr:uid="{00000000-0004-0000-1A00-000090000000}"/>
    <hyperlink ref="BN2" location="report_columns_links!A1" display="Column links" xr:uid="{00000000-0004-0000-1A00-000091000000}"/>
    <hyperlink ref="BO2" location="report_columns_links!A1" display="Column links" xr:uid="{00000000-0004-0000-1A00-000092000000}"/>
    <hyperlink ref="BP2" location="report_columns_links!A1" display="Column links" xr:uid="{00000000-0004-0000-1A00-000093000000}"/>
    <hyperlink ref="BQ2" location="report_columns_links!A1" display="Column links" xr:uid="{00000000-0004-0000-1A00-000094000000}"/>
    <hyperlink ref="BR2" location="report_columns_links!A1" display="Column links" xr:uid="{00000000-0004-0000-1A00-000095000000}"/>
    <hyperlink ref="BS2" location="report_columns_links!A1" display="Column links" xr:uid="{00000000-0004-0000-1A00-000096000000}"/>
    <hyperlink ref="BT2" location="report_columns_links!A1" display="Column links" xr:uid="{00000000-0004-0000-1A00-000097000000}"/>
    <hyperlink ref="BU2" location="report_columns_links!A1" display="Column links" xr:uid="{00000000-0004-0000-1A00-000098000000}"/>
    <hyperlink ref="BV2" location="report_columns_links!A1" display="Column links" xr:uid="{00000000-0004-0000-1A00-000099000000}"/>
    <hyperlink ref="BW2" location="report_columns_links!A1" display="Column links" xr:uid="{00000000-0004-0000-1A00-00009A000000}"/>
    <hyperlink ref="BX2" location="report_columns_links!A1" display="Column links" xr:uid="{00000000-0004-0000-1A00-00009B000000}"/>
    <hyperlink ref="BY2" location="report_columns_links!A1" display="Column links" xr:uid="{00000000-0004-0000-1A00-00009C000000}"/>
    <hyperlink ref="BZ2" location="report_columns_links!A1" display="Column links" xr:uid="{00000000-0004-0000-1A00-00009D000000}"/>
    <hyperlink ref="CA2" location="report_columns_links!A1" display="Column links" xr:uid="{00000000-0004-0000-1A00-00009E000000}"/>
    <hyperlink ref="CB2" location="report_columns_links!A1" display="Column links" xr:uid="{00000000-0004-0000-1A00-00009F000000}"/>
    <hyperlink ref="CC2" location="report_columns_links!A1" display="Column links" xr:uid="{00000000-0004-0000-1A00-0000A0000000}"/>
    <hyperlink ref="CD1" location="contents!A1" display="Contents" xr:uid="{D6A2FC23-80B9-494E-8219-0F150A29DEA9}"/>
    <hyperlink ref="CE1" location="contents!A1" display="Contents" xr:uid="{EF0B9A08-4AA5-426E-8C47-A7E35EB5344E}"/>
    <hyperlink ref="CD2" location="report_columns_links!A1" display="Column links" xr:uid="{C8741B91-8AA2-4E5E-9DAE-C705301EF4C2}"/>
    <hyperlink ref="CE2" location="report_columns_links!A1" display="Column links" xr:uid="{84CF781B-6DBF-49B9-8EF9-3BE670017A03}"/>
    <hyperlink ref="CF1" location="contents!A1" display="Contents" xr:uid="{5CA1C6C4-B685-489F-8BE7-A6B25B5B7242}"/>
    <hyperlink ref="CF2" location="report_columns_links!A1" display="Column links" xr:uid="{8A565296-D0C1-49AD-B6E7-7ADED8217CA9}"/>
    <hyperlink ref="CG1" location="contents!A1" display="Contents" xr:uid="{D62F29DC-58A2-411B-A183-840E25474873}"/>
    <hyperlink ref="CG2" location="report_columns_links!A1" display="Column links" xr:uid="{EE7A2C5F-90EE-4A84-A647-B0DF5ACB1AF6}"/>
  </hyperlinks>
  <pageMargins left="0.7" right="0.7" top="0.75" bottom="0.75" header="0.511811023622047" footer="0.511811023622047"/>
  <pageSetup paperSize="9" orientation="portrait" horizontalDpi="300" verticalDpi="300" r:id="rId1"/>
  <rowBreaks count="1" manualBreakCount="1">
    <brk id="17" max="16383" man="1"/>
  </rowBreaks>
  <colBreaks count="1" manualBreakCount="1">
    <brk id="84"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3:J106"/>
  <sheetViews>
    <sheetView zoomScaleNormal="100" workbookViewId="0">
      <selection activeCell="J1" sqref="J1"/>
    </sheetView>
  </sheetViews>
  <sheetFormatPr defaultColWidth="8.7109375" defaultRowHeight="15" x14ac:dyDescent="0.25"/>
  <cols>
    <col min="1" max="1" width="37.85546875" customWidth="1"/>
    <col min="2" max="2" width="28.42578125" customWidth="1"/>
    <col min="3" max="3" width="34.140625" customWidth="1"/>
    <col min="4" max="4" width="33.140625" customWidth="1"/>
    <col min="5" max="5" width="48.7109375" customWidth="1"/>
    <col min="6" max="6" width="45.140625" customWidth="1"/>
    <col min="7" max="7" width="36.5703125" customWidth="1"/>
    <col min="8" max="8" width="37.7109375" customWidth="1"/>
    <col min="9" max="9" width="42.85546875" customWidth="1"/>
    <col min="10" max="10" width="26.42578125" customWidth="1"/>
  </cols>
  <sheetData>
    <row r="3" spans="1:10" x14ac:dyDescent="0.25">
      <c r="A3" s="12"/>
      <c r="B3" t="s">
        <v>4135</v>
      </c>
      <c r="C3" t="s">
        <v>4136</v>
      </c>
      <c r="D3" s="20" t="s">
        <v>4137</v>
      </c>
      <c r="E3" s="20" t="s">
        <v>4138</v>
      </c>
      <c r="F3" s="34" t="s">
        <v>4139</v>
      </c>
      <c r="G3" s="34" t="s">
        <v>4140</v>
      </c>
      <c r="I3" s="39" t="s">
        <v>4141</v>
      </c>
      <c r="J3" s="43" t="s">
        <v>4142</v>
      </c>
    </row>
    <row r="4" spans="1:10" x14ac:dyDescent="0.25">
      <c r="A4" s="78" t="s">
        <v>900</v>
      </c>
      <c r="B4" s="3" t="s">
        <v>3239</v>
      </c>
      <c r="C4" s="3" t="s">
        <v>3240</v>
      </c>
      <c r="D4" t="s">
        <v>3239</v>
      </c>
      <c r="E4" s="12" t="s">
        <v>3240</v>
      </c>
      <c r="F4" t="s">
        <v>3239</v>
      </c>
      <c r="G4" s="12" t="s">
        <v>3240</v>
      </c>
      <c r="H4" t="s">
        <v>4143</v>
      </c>
      <c r="I4" t="s">
        <v>900</v>
      </c>
      <c r="J4" s="78" t="s">
        <v>900</v>
      </c>
    </row>
    <row r="5" spans="1:10" x14ac:dyDescent="0.25">
      <c r="A5" s="78" t="s">
        <v>910</v>
      </c>
      <c r="B5" s="3" t="s">
        <v>3252</v>
      </c>
      <c r="C5" s="3" t="s">
        <v>3253</v>
      </c>
      <c r="D5" t="s">
        <v>3248</v>
      </c>
      <c r="E5" s="12" t="s">
        <v>3249</v>
      </c>
      <c r="F5" t="s">
        <v>3248</v>
      </c>
      <c r="G5" s="12" t="s">
        <v>3249</v>
      </c>
      <c r="H5" t="s">
        <v>4144</v>
      </c>
      <c r="I5" t="s">
        <v>910</v>
      </c>
      <c r="J5" s="78" t="s">
        <v>910</v>
      </c>
    </row>
    <row r="6" spans="1:10" x14ac:dyDescent="0.25">
      <c r="A6" s="78" t="s">
        <v>917</v>
      </c>
      <c r="B6" s="3" t="s">
        <v>2763</v>
      </c>
      <c r="C6" s="3" t="s">
        <v>3271</v>
      </c>
      <c r="D6" t="s">
        <v>3252</v>
      </c>
      <c r="E6" s="3" t="s">
        <v>3253</v>
      </c>
      <c r="F6" t="s">
        <v>910</v>
      </c>
      <c r="G6" s="12" t="s">
        <v>3263</v>
      </c>
      <c r="H6" t="s">
        <v>4145</v>
      </c>
      <c r="I6" t="s">
        <v>1065</v>
      </c>
      <c r="J6" s="78" t="s">
        <v>917</v>
      </c>
    </row>
    <row r="7" spans="1:10" x14ac:dyDescent="0.25">
      <c r="A7" s="78" t="s">
        <v>1180</v>
      </c>
      <c r="B7" s="3" t="s">
        <v>2764</v>
      </c>
      <c r="C7" s="3" t="s">
        <v>3295</v>
      </c>
      <c r="D7" t="s">
        <v>2232</v>
      </c>
      <c r="E7" t="s">
        <v>3324</v>
      </c>
      <c r="F7" t="s">
        <v>1069</v>
      </c>
      <c r="G7" s="12" t="s">
        <v>3289</v>
      </c>
      <c r="H7" t="s">
        <v>4146</v>
      </c>
      <c r="I7" t="s">
        <v>1069</v>
      </c>
      <c r="J7" s="78" t="s">
        <v>1180</v>
      </c>
    </row>
    <row r="8" spans="1:10" x14ac:dyDescent="0.25">
      <c r="A8" s="78" t="s">
        <v>1027</v>
      </c>
      <c r="B8" s="3" t="s">
        <v>2766</v>
      </c>
      <c r="C8" s="3" t="s">
        <v>3323</v>
      </c>
      <c r="D8" t="s">
        <v>2022</v>
      </c>
      <c r="E8" t="s">
        <v>3296</v>
      </c>
      <c r="F8" t="s">
        <v>1003</v>
      </c>
      <c r="G8" s="74" t="s">
        <v>1003</v>
      </c>
      <c r="H8" t="s">
        <v>4147</v>
      </c>
      <c r="I8" t="s">
        <v>1074</v>
      </c>
      <c r="J8" s="78" t="s">
        <v>1027</v>
      </c>
    </row>
    <row r="9" spans="1:10" x14ac:dyDescent="0.25">
      <c r="A9" s="78" t="s">
        <v>1185</v>
      </c>
      <c r="B9" s="3" t="s">
        <v>2769</v>
      </c>
      <c r="C9" s="3" t="s">
        <v>3351</v>
      </c>
      <c r="D9" t="s">
        <v>1949</v>
      </c>
      <c r="E9" t="s">
        <v>3325</v>
      </c>
      <c r="F9" t="s">
        <v>1093</v>
      </c>
      <c r="G9" s="74" t="s">
        <v>3345</v>
      </c>
      <c r="H9" t="s">
        <v>4148</v>
      </c>
      <c r="I9" t="s">
        <v>1137</v>
      </c>
      <c r="J9" s="78" t="s">
        <v>1185</v>
      </c>
    </row>
    <row r="10" spans="1:10" x14ac:dyDescent="0.25">
      <c r="A10" s="78" t="s">
        <v>1476</v>
      </c>
      <c r="B10" s="3" t="s">
        <v>1983</v>
      </c>
      <c r="C10" s="3" t="s">
        <v>3297</v>
      </c>
      <c r="D10" t="s">
        <v>1482</v>
      </c>
      <c r="E10" t="s">
        <v>3277</v>
      </c>
      <c r="F10" t="s">
        <v>938</v>
      </c>
      <c r="G10" s="74" t="s">
        <v>3376</v>
      </c>
      <c r="H10" t="s">
        <v>4149</v>
      </c>
      <c r="I10" t="s">
        <v>916</v>
      </c>
      <c r="J10" s="78" t="s">
        <v>1476</v>
      </c>
    </row>
    <row r="11" spans="1:10" x14ac:dyDescent="0.25">
      <c r="A11" s="78" t="s">
        <v>1482</v>
      </c>
      <c r="B11" s="3" t="s">
        <v>3284</v>
      </c>
      <c r="C11" s="3" t="s">
        <v>3285</v>
      </c>
      <c r="D11" t="s">
        <v>910</v>
      </c>
      <c r="E11" t="s">
        <v>3263</v>
      </c>
      <c r="F11" t="s">
        <v>941</v>
      </c>
      <c r="G11" s="74" t="s">
        <v>4150</v>
      </c>
      <c r="H11" t="s">
        <v>4151</v>
      </c>
      <c r="I11" t="s">
        <v>2264</v>
      </c>
      <c r="J11" s="78" t="s">
        <v>1482</v>
      </c>
    </row>
    <row r="12" spans="1:10" x14ac:dyDescent="0.25">
      <c r="A12" s="78" t="s">
        <v>1068</v>
      </c>
      <c r="B12" s="3" t="s">
        <v>58</v>
      </c>
      <c r="C12" s="3" t="s">
        <v>3418</v>
      </c>
      <c r="D12" t="s">
        <v>1068</v>
      </c>
      <c r="E12" t="s">
        <v>3289</v>
      </c>
      <c r="F12" t="s">
        <v>935</v>
      </c>
      <c r="G12" s="74" t="s">
        <v>3438</v>
      </c>
      <c r="H12" t="s">
        <v>4152</v>
      </c>
      <c r="I12" t="s">
        <v>2286</v>
      </c>
      <c r="J12" s="78" t="s">
        <v>1513</v>
      </c>
    </row>
    <row r="13" spans="1:10" x14ac:dyDescent="0.25">
      <c r="A13" s="78" t="s">
        <v>1074</v>
      </c>
      <c r="B13" s="3" t="s">
        <v>3445</v>
      </c>
      <c r="C13" s="3" t="s">
        <v>3446</v>
      </c>
      <c r="D13" t="s">
        <v>1180</v>
      </c>
      <c r="E13" t="s">
        <v>3326</v>
      </c>
      <c r="F13" t="s">
        <v>926</v>
      </c>
      <c r="G13" s="74" t="s">
        <v>3468</v>
      </c>
      <c r="H13" t="s">
        <v>4153</v>
      </c>
      <c r="I13" t="s">
        <v>1180</v>
      </c>
      <c r="J13" s="78" t="s">
        <v>1515</v>
      </c>
    </row>
    <row r="14" spans="1:10" x14ac:dyDescent="0.25">
      <c r="A14" s="78" t="s">
        <v>1188</v>
      </c>
      <c r="B14" s="3" t="s">
        <v>3475</v>
      </c>
      <c r="C14" s="3" t="s">
        <v>3476</v>
      </c>
      <c r="D14" t="s">
        <v>1027</v>
      </c>
      <c r="E14" t="s">
        <v>3353</v>
      </c>
      <c r="F14" t="s">
        <v>1091</v>
      </c>
      <c r="G14" s="74" t="s">
        <v>3498</v>
      </c>
      <c r="H14" t="s">
        <v>4154</v>
      </c>
      <c r="I14" t="s">
        <v>2271</v>
      </c>
      <c r="J14" s="78" t="s">
        <v>1521</v>
      </c>
    </row>
    <row r="15" spans="1:10" x14ac:dyDescent="0.25">
      <c r="A15" s="78" t="s">
        <v>1192</v>
      </c>
      <c r="B15" s="3" t="s">
        <v>3503</v>
      </c>
      <c r="C15" s="3" t="s">
        <v>3504</v>
      </c>
      <c r="D15" t="s">
        <v>1185</v>
      </c>
      <c r="E15" t="s">
        <v>3386</v>
      </c>
      <c r="F15" t="s">
        <v>947</v>
      </c>
      <c r="G15" s="74" t="s">
        <v>3519</v>
      </c>
      <c r="H15" t="s">
        <v>4155</v>
      </c>
      <c r="I15" t="s">
        <v>2273</v>
      </c>
      <c r="J15" s="78" t="s">
        <v>1527</v>
      </c>
    </row>
    <row r="16" spans="1:10" x14ac:dyDescent="0.25">
      <c r="A16" s="78" t="s">
        <v>3239</v>
      </c>
      <c r="B16" s="3" t="s">
        <v>3258</v>
      </c>
      <c r="C16" s="3" t="s">
        <v>3259</v>
      </c>
      <c r="D16" t="s">
        <v>1188</v>
      </c>
      <c r="E16" t="s">
        <v>3474</v>
      </c>
      <c r="F16" t="s">
        <v>944</v>
      </c>
      <c r="G16" s="74" t="s">
        <v>3542</v>
      </c>
      <c r="H16" t="s">
        <v>4156</v>
      </c>
      <c r="I16" t="s">
        <v>2275</v>
      </c>
      <c r="J16" s="78" t="s">
        <v>1531</v>
      </c>
    </row>
    <row r="17" spans="1:10" x14ac:dyDescent="0.25">
      <c r="A17" s="78" t="s">
        <v>3248</v>
      </c>
      <c r="B17" s="3" t="s">
        <v>3309</v>
      </c>
      <c r="C17" s="3" t="s">
        <v>3310</v>
      </c>
      <c r="D17" t="s">
        <v>1476</v>
      </c>
      <c r="E17" t="s">
        <v>3420</v>
      </c>
      <c r="F17" t="s">
        <v>1086</v>
      </c>
      <c r="G17" s="74" t="s">
        <v>3570</v>
      </c>
      <c r="H17" t="s">
        <v>4157</v>
      </c>
      <c r="I17" t="s">
        <v>2292</v>
      </c>
      <c r="J17" s="78" t="s">
        <v>1537</v>
      </c>
    </row>
    <row r="18" spans="1:10" x14ac:dyDescent="0.25">
      <c r="A18" s="78" t="s">
        <v>1081</v>
      </c>
      <c r="D18" t="s">
        <v>3838</v>
      </c>
      <c r="E18" t="s">
        <v>3839</v>
      </c>
      <c r="F18" t="s">
        <v>1094</v>
      </c>
      <c r="G18" s="74" t="s">
        <v>3594</v>
      </c>
      <c r="H18" t="s">
        <v>4158</v>
      </c>
      <c r="I18" t="s">
        <v>2293</v>
      </c>
      <c r="J18" s="78" t="s">
        <v>1539</v>
      </c>
    </row>
    <row r="19" spans="1:10" x14ac:dyDescent="0.25">
      <c r="A19" s="78" t="s">
        <v>1951</v>
      </c>
      <c r="D19" t="s">
        <v>3448</v>
      </c>
      <c r="E19" t="s">
        <v>3449</v>
      </c>
      <c r="F19" t="s">
        <v>1090</v>
      </c>
      <c r="G19" s="74" t="s">
        <v>3615</v>
      </c>
      <c r="H19" t="s">
        <v>4159</v>
      </c>
      <c r="I19" t="s">
        <v>3367</v>
      </c>
      <c r="J19" s="78" t="s">
        <v>1068</v>
      </c>
    </row>
    <row r="20" spans="1:10" x14ac:dyDescent="0.25">
      <c r="A20" s="78" t="s">
        <v>2022</v>
      </c>
      <c r="D20" t="s">
        <v>2764</v>
      </c>
      <c r="E20" s="3" t="s">
        <v>3295</v>
      </c>
      <c r="F20" t="s">
        <v>1087</v>
      </c>
      <c r="G20" s="74" t="s">
        <v>3635</v>
      </c>
      <c r="H20" t="s">
        <v>4160</v>
      </c>
      <c r="I20" t="s">
        <v>2265</v>
      </c>
      <c r="J20" s="78" t="s">
        <v>1074</v>
      </c>
    </row>
    <row r="21" spans="1:10" x14ac:dyDescent="0.25">
      <c r="A21" s="78" t="s">
        <v>2029</v>
      </c>
      <c r="D21" t="s">
        <v>3284</v>
      </c>
      <c r="E21" s="3" t="s">
        <v>3285</v>
      </c>
      <c r="F21" t="s">
        <v>1089</v>
      </c>
      <c r="G21" s="74" t="s">
        <v>4161</v>
      </c>
      <c r="H21" t="s">
        <v>4162</v>
      </c>
      <c r="I21" t="s">
        <v>1837</v>
      </c>
      <c r="J21" s="78" t="s">
        <v>1188</v>
      </c>
    </row>
    <row r="22" spans="1:10" x14ac:dyDescent="0.25">
      <c r="A22" s="78" t="s">
        <v>2031</v>
      </c>
      <c r="D22" t="s">
        <v>3258</v>
      </c>
      <c r="E22" s="3" t="s">
        <v>3259</v>
      </c>
      <c r="F22" t="s">
        <v>1088</v>
      </c>
      <c r="G22" s="74" t="s">
        <v>3667</v>
      </c>
      <c r="H22" t="s">
        <v>4163</v>
      </c>
      <c r="I22" t="s">
        <v>2278</v>
      </c>
      <c r="J22" s="78" t="s">
        <v>1192</v>
      </c>
    </row>
    <row r="23" spans="1:10" x14ac:dyDescent="0.25">
      <c r="A23" s="78" t="s">
        <v>2035</v>
      </c>
      <c r="D23" t="s">
        <v>3309</v>
      </c>
      <c r="E23" s="3" t="s">
        <v>3310</v>
      </c>
      <c r="F23" t="s">
        <v>1092</v>
      </c>
      <c r="G23" s="74" t="s">
        <v>3690</v>
      </c>
      <c r="H23" t="s">
        <v>4164</v>
      </c>
      <c r="I23" t="s">
        <v>2279</v>
      </c>
      <c r="J23" s="78" t="s">
        <v>1197</v>
      </c>
    </row>
    <row r="24" spans="1:10" x14ac:dyDescent="0.25">
      <c r="A24" s="78" t="s">
        <v>2037</v>
      </c>
      <c r="D24" s="3" t="s">
        <v>3754</v>
      </c>
      <c r="E24" t="s">
        <v>3755</v>
      </c>
      <c r="F24" t="s">
        <v>946</v>
      </c>
      <c r="G24" t="s">
        <v>3711</v>
      </c>
      <c r="H24" t="s">
        <v>4165</v>
      </c>
      <c r="I24" t="s">
        <v>1027</v>
      </c>
      <c r="J24" s="78" t="s">
        <v>3239</v>
      </c>
    </row>
    <row r="25" spans="1:10" x14ac:dyDescent="0.25">
      <c r="A25" s="78" t="s">
        <v>2763</v>
      </c>
      <c r="D25" s="3" t="s">
        <v>3776</v>
      </c>
      <c r="E25" t="s">
        <v>3777</v>
      </c>
      <c r="F25" t="s">
        <v>948</v>
      </c>
      <c r="G25" s="74" t="s">
        <v>3730</v>
      </c>
      <c r="H25" t="s">
        <v>4166</v>
      </c>
      <c r="I25" t="s">
        <v>1185</v>
      </c>
      <c r="J25" s="78" t="s">
        <v>3248</v>
      </c>
    </row>
    <row r="26" spans="1:10" x14ac:dyDescent="0.25">
      <c r="A26" s="78" t="s">
        <v>2764</v>
      </c>
      <c r="D26" s="3" t="s">
        <v>3795</v>
      </c>
      <c r="E26" t="s">
        <v>3796</v>
      </c>
      <c r="F26" t="s">
        <v>1111</v>
      </c>
      <c r="G26" s="74" t="s">
        <v>3749</v>
      </c>
      <c r="H26" t="s">
        <v>4167</v>
      </c>
      <c r="I26" t="s">
        <v>1188</v>
      </c>
      <c r="J26" s="78" t="s">
        <v>1078</v>
      </c>
    </row>
    <row r="27" spans="1:10" x14ac:dyDescent="0.25">
      <c r="A27" s="78" t="s">
        <v>2766</v>
      </c>
      <c r="D27" s="3" t="s">
        <v>3816</v>
      </c>
      <c r="E27" t="s">
        <v>3817</v>
      </c>
      <c r="F27" t="s">
        <v>1113</v>
      </c>
      <c r="G27" s="74" t="s">
        <v>3773</v>
      </c>
      <c r="H27" t="s">
        <v>4168</v>
      </c>
      <c r="I27" t="s">
        <v>1192</v>
      </c>
      <c r="J27" s="78" t="s">
        <v>1081</v>
      </c>
    </row>
    <row r="28" spans="1:10" x14ac:dyDescent="0.25">
      <c r="A28" s="78" t="s">
        <v>1945</v>
      </c>
      <c r="D28" t="s">
        <v>4169</v>
      </c>
      <c r="E28" t="s">
        <v>4169</v>
      </c>
      <c r="F28" s="45" t="s">
        <v>1100</v>
      </c>
      <c r="G28" s="79" t="s">
        <v>3313</v>
      </c>
      <c r="H28" t="s">
        <v>4170</v>
      </c>
      <c r="I28" t="s">
        <v>3616</v>
      </c>
      <c r="J28" s="78" t="s">
        <v>50</v>
      </c>
    </row>
    <row r="29" spans="1:10" x14ac:dyDescent="0.25">
      <c r="A29" s="78" t="s">
        <v>2232</v>
      </c>
      <c r="F29" s="45" t="s">
        <v>1102</v>
      </c>
      <c r="G29" s="79" t="s">
        <v>3377</v>
      </c>
      <c r="H29" t="s">
        <v>4170</v>
      </c>
      <c r="I29" t="s">
        <v>3637</v>
      </c>
      <c r="J29" s="78" t="s">
        <v>54</v>
      </c>
    </row>
    <row r="30" spans="1:10" x14ac:dyDescent="0.25">
      <c r="A30" s="78" t="s">
        <v>3445</v>
      </c>
      <c r="F30" s="45" t="s">
        <v>1215</v>
      </c>
      <c r="G30" s="79" t="s">
        <v>3410</v>
      </c>
      <c r="H30" t="s">
        <v>4171</v>
      </c>
      <c r="I30" t="s">
        <v>3478</v>
      </c>
      <c r="J30" s="78" t="s">
        <v>52</v>
      </c>
    </row>
    <row r="31" spans="1:10" x14ac:dyDescent="0.25">
      <c r="A31" s="78" t="s">
        <v>3284</v>
      </c>
      <c r="F31" s="45" t="s">
        <v>1101</v>
      </c>
      <c r="G31" s="79" t="s">
        <v>3520</v>
      </c>
      <c r="H31" t="s">
        <v>4172</v>
      </c>
      <c r="I31" t="s">
        <v>3669</v>
      </c>
      <c r="J31" s="78" t="s">
        <v>1951</v>
      </c>
    </row>
    <row r="32" spans="1:10" x14ac:dyDescent="0.25">
      <c r="A32" s="78" t="s">
        <v>2769</v>
      </c>
      <c r="B32" s="77"/>
      <c r="C32" s="77"/>
      <c r="F32" s="45" t="s">
        <v>951</v>
      </c>
      <c r="G32" s="79" t="s">
        <v>3346</v>
      </c>
      <c r="H32" t="s">
        <v>4173</v>
      </c>
      <c r="I32" t="s">
        <v>1756</v>
      </c>
      <c r="J32" s="78" t="s">
        <v>1949</v>
      </c>
    </row>
    <row r="33" spans="1:10" x14ac:dyDescent="0.25">
      <c r="A33" s="78" t="s">
        <v>1963</v>
      </c>
      <c r="B33" s="77"/>
      <c r="C33" s="77"/>
      <c r="F33" t="s">
        <v>952</v>
      </c>
      <c r="G33" s="74" t="s">
        <v>3543</v>
      </c>
      <c r="H33" t="s">
        <v>4174</v>
      </c>
      <c r="I33" t="s">
        <v>1762</v>
      </c>
      <c r="J33" s="78" t="s">
        <v>2022</v>
      </c>
    </row>
    <row r="34" spans="1:10" x14ac:dyDescent="0.25">
      <c r="A34" s="78" t="s">
        <v>1969</v>
      </c>
      <c r="B34" s="77"/>
      <c r="C34" s="77"/>
      <c r="F34" t="s">
        <v>1099</v>
      </c>
      <c r="G34" s="74" t="s">
        <v>4175</v>
      </c>
      <c r="H34" t="s">
        <v>4176</v>
      </c>
      <c r="I34" t="s">
        <v>1760</v>
      </c>
      <c r="J34" s="78" t="s">
        <v>2031</v>
      </c>
    </row>
    <row r="35" spans="1:10" ht="30" x14ac:dyDescent="0.25">
      <c r="A35" s="78" t="s">
        <v>1971</v>
      </c>
      <c r="B35" s="77"/>
      <c r="C35" s="77"/>
      <c r="F35" s="45" t="s">
        <v>945</v>
      </c>
      <c r="G35" s="79" t="s">
        <v>4177</v>
      </c>
      <c r="H35" t="s">
        <v>4178</v>
      </c>
      <c r="I35" t="s">
        <v>1770</v>
      </c>
      <c r="J35" s="78" t="s">
        <v>2763</v>
      </c>
    </row>
    <row r="36" spans="1:10" x14ac:dyDescent="0.25">
      <c r="A36" s="78" t="s">
        <v>1947</v>
      </c>
      <c r="B36" s="77"/>
      <c r="C36" s="77"/>
      <c r="F36" t="s">
        <v>1095</v>
      </c>
      <c r="G36" s="74" t="s">
        <v>3791</v>
      </c>
      <c r="H36" t="s">
        <v>4179</v>
      </c>
      <c r="I36" t="s">
        <v>1776</v>
      </c>
      <c r="J36" s="78" t="s">
        <v>2764</v>
      </c>
    </row>
    <row r="37" spans="1:10" x14ac:dyDescent="0.25">
      <c r="A37" s="78" t="s">
        <v>1983</v>
      </c>
      <c r="B37" s="77"/>
      <c r="C37" s="77"/>
      <c r="F37" t="s">
        <v>30</v>
      </c>
      <c r="G37" s="74" t="s">
        <v>3811</v>
      </c>
      <c r="H37" t="s">
        <v>4180</v>
      </c>
      <c r="I37" t="s">
        <v>1779</v>
      </c>
      <c r="J37" s="78" t="s">
        <v>2766</v>
      </c>
    </row>
    <row r="38" spans="1:10" ht="30" x14ac:dyDescent="0.25">
      <c r="A38" s="78" t="s">
        <v>1981</v>
      </c>
      <c r="B38" s="77"/>
      <c r="C38" s="77"/>
      <c r="F38" t="s">
        <v>1098</v>
      </c>
      <c r="G38" s="74" t="s">
        <v>3832</v>
      </c>
      <c r="H38" t="s">
        <v>4181</v>
      </c>
      <c r="I38" t="s">
        <v>1784</v>
      </c>
      <c r="J38" s="78" t="s">
        <v>1945</v>
      </c>
    </row>
    <row r="39" spans="1:10" x14ac:dyDescent="0.25">
      <c r="A39" s="78" t="s">
        <v>1975</v>
      </c>
      <c r="B39" s="77"/>
      <c r="C39" s="77"/>
      <c r="F39" t="s">
        <v>1081</v>
      </c>
      <c r="G39" t="s">
        <v>3614</v>
      </c>
      <c r="H39" t="s">
        <v>4182</v>
      </c>
      <c r="I39" t="s">
        <v>3733</v>
      </c>
      <c r="J39" s="78" t="s">
        <v>2232</v>
      </c>
    </row>
    <row r="40" spans="1:10" x14ac:dyDescent="0.25">
      <c r="A40" s="78" t="s">
        <v>3252</v>
      </c>
      <c r="B40" s="77"/>
      <c r="C40" s="77"/>
      <c r="F40" t="s">
        <v>1137</v>
      </c>
      <c r="G40" s="74" t="s">
        <v>3593</v>
      </c>
      <c r="H40" t="s">
        <v>4183</v>
      </c>
      <c r="I40" t="s">
        <v>3752</v>
      </c>
      <c r="J40" s="78" t="s">
        <v>3445</v>
      </c>
    </row>
    <row r="41" spans="1:10" x14ac:dyDescent="0.25">
      <c r="A41" s="78" t="s">
        <v>2602</v>
      </c>
      <c r="B41" s="77"/>
      <c r="C41" s="77"/>
      <c r="F41" t="s">
        <v>1150</v>
      </c>
      <c r="G41" s="74" t="s">
        <v>3888</v>
      </c>
      <c r="H41" t="s">
        <v>4184</v>
      </c>
      <c r="I41" t="s">
        <v>4185</v>
      </c>
      <c r="J41" s="78" t="s">
        <v>3284</v>
      </c>
    </row>
    <row r="42" spans="1:10" x14ac:dyDescent="0.25">
      <c r="A42" s="78" t="s">
        <v>3448</v>
      </c>
      <c r="B42" s="77"/>
      <c r="C42" s="77"/>
      <c r="F42" t="s">
        <v>972</v>
      </c>
      <c r="G42" s="74" t="s">
        <v>3905</v>
      </c>
      <c r="I42" t="s">
        <v>4186</v>
      </c>
      <c r="J42" s="78" t="s">
        <v>2769</v>
      </c>
    </row>
    <row r="43" spans="1:10" x14ac:dyDescent="0.25">
      <c r="A43" s="78" t="s">
        <v>3258</v>
      </c>
      <c r="B43" s="77"/>
      <c r="C43" s="77"/>
      <c r="F43" t="s">
        <v>979</v>
      </c>
      <c r="G43" s="74" t="s">
        <v>3920</v>
      </c>
      <c r="H43" t="s">
        <v>4187</v>
      </c>
      <c r="I43" t="s">
        <v>4188</v>
      </c>
      <c r="J43" s="78" t="s">
        <v>1963</v>
      </c>
    </row>
    <row r="44" spans="1:10" x14ac:dyDescent="0.25">
      <c r="A44" s="78" t="s">
        <v>3309</v>
      </c>
      <c r="B44" s="77"/>
      <c r="C44" s="77"/>
      <c r="F44" t="s">
        <v>989</v>
      </c>
      <c r="G44" s="74" t="s">
        <v>3933</v>
      </c>
      <c r="H44" t="s">
        <v>4189</v>
      </c>
      <c r="I44" t="s">
        <v>4190</v>
      </c>
      <c r="J44" s="78" t="s">
        <v>1971</v>
      </c>
    </row>
    <row r="45" spans="1:10" x14ac:dyDescent="0.25">
      <c r="B45" s="77"/>
      <c r="C45" s="77"/>
      <c r="F45" s="77"/>
      <c r="G45" s="77"/>
      <c r="H45" t="s">
        <v>4191</v>
      </c>
      <c r="I45" t="s">
        <v>4192</v>
      </c>
      <c r="J45" s="78" t="s">
        <v>3448</v>
      </c>
    </row>
    <row r="46" spans="1:10" x14ac:dyDescent="0.25">
      <c r="B46" s="77"/>
      <c r="C46" s="77"/>
      <c r="F46" s="77"/>
      <c r="G46" s="77"/>
      <c r="H46" t="s">
        <v>4193</v>
      </c>
      <c r="I46" t="s">
        <v>343</v>
      </c>
      <c r="J46" s="78" t="s">
        <v>3258</v>
      </c>
    </row>
    <row r="47" spans="1:10" x14ac:dyDescent="0.25">
      <c r="B47" s="77"/>
      <c r="C47" s="77"/>
      <c r="F47" s="77"/>
      <c r="G47" s="77"/>
      <c r="H47" t="s">
        <v>4194</v>
      </c>
      <c r="I47" t="s">
        <v>4195</v>
      </c>
      <c r="J47" s="78" t="s">
        <v>3309</v>
      </c>
    </row>
    <row r="48" spans="1:10" x14ac:dyDescent="0.25">
      <c r="B48" s="77"/>
      <c r="C48" s="77"/>
      <c r="F48" s="77"/>
      <c r="G48" s="77"/>
      <c r="H48" t="s">
        <v>4196</v>
      </c>
      <c r="I48" t="s">
        <v>1010</v>
      </c>
      <c r="J48" s="78" t="s">
        <v>3565</v>
      </c>
    </row>
    <row r="49" spans="2:10" x14ac:dyDescent="0.25">
      <c r="B49" s="77"/>
      <c r="C49" s="77"/>
      <c r="F49" s="77"/>
      <c r="G49" s="77"/>
      <c r="H49" t="s">
        <v>4197</v>
      </c>
      <c r="I49" t="s">
        <v>55</v>
      </c>
      <c r="J49" s="78" t="s">
        <v>4169</v>
      </c>
    </row>
    <row r="50" spans="2:10" x14ac:dyDescent="0.25">
      <c r="B50" s="77"/>
      <c r="C50" s="77"/>
      <c r="F50" s="77"/>
      <c r="G50" s="77"/>
      <c r="H50" t="s">
        <v>4198</v>
      </c>
      <c r="I50" t="s">
        <v>52</v>
      </c>
      <c r="J50" s="78" t="s">
        <v>3838</v>
      </c>
    </row>
    <row r="51" spans="2:10" x14ac:dyDescent="0.25">
      <c r="B51" s="77"/>
      <c r="C51" s="77"/>
      <c r="F51" s="77"/>
      <c r="G51" s="77"/>
      <c r="H51" t="s">
        <v>4199</v>
      </c>
      <c r="I51" t="s">
        <v>4200</v>
      </c>
      <c r="J51" s="78" t="s">
        <v>3252</v>
      </c>
    </row>
    <row r="52" spans="2:10" x14ac:dyDescent="0.25">
      <c r="B52" s="77"/>
      <c r="C52" s="77"/>
      <c r="F52" s="77"/>
      <c r="G52" s="77"/>
      <c r="H52" t="s">
        <v>4201</v>
      </c>
      <c r="I52" t="s">
        <v>4202</v>
      </c>
      <c r="J52" s="78" t="s">
        <v>3754</v>
      </c>
    </row>
    <row r="53" spans="2:10" x14ac:dyDescent="0.25">
      <c r="F53" s="77"/>
      <c r="G53" s="77"/>
      <c r="H53" t="s">
        <v>4203</v>
      </c>
      <c r="I53" t="s">
        <v>4204</v>
      </c>
      <c r="J53" s="78" t="s">
        <v>3776</v>
      </c>
    </row>
    <row r="54" spans="2:10" x14ac:dyDescent="0.25">
      <c r="F54" s="77"/>
      <c r="G54" s="77"/>
      <c r="H54" t="s">
        <v>4205</v>
      </c>
      <c r="I54" t="s">
        <v>3378</v>
      </c>
      <c r="J54" s="78" t="s">
        <v>3795</v>
      </c>
    </row>
    <row r="55" spans="2:10" x14ac:dyDescent="0.25">
      <c r="F55" s="77"/>
      <c r="G55" s="77"/>
      <c r="H55" t="s">
        <v>4206</v>
      </c>
      <c r="I55" t="s">
        <v>3575</v>
      </c>
      <c r="J55" s="78" t="s">
        <v>3816</v>
      </c>
    </row>
    <row r="56" spans="2:10" x14ac:dyDescent="0.25">
      <c r="F56" s="77"/>
      <c r="G56" s="77"/>
      <c r="H56" t="s">
        <v>4207</v>
      </c>
      <c r="I56" t="s">
        <v>1836</v>
      </c>
      <c r="J56" s="78" t="s">
        <v>343</v>
      </c>
    </row>
    <row r="57" spans="2:10" x14ac:dyDescent="0.25">
      <c r="F57" s="77"/>
      <c r="G57" s="77"/>
      <c r="H57" t="s">
        <v>4208</v>
      </c>
      <c r="I57" t="s">
        <v>1838</v>
      </c>
      <c r="J57" s="78" t="s">
        <v>344</v>
      </c>
    </row>
    <row r="58" spans="2:10" x14ac:dyDescent="0.25">
      <c r="F58" s="77"/>
      <c r="G58" s="77"/>
      <c r="H58" t="s">
        <v>4209</v>
      </c>
      <c r="I58" t="s">
        <v>1842</v>
      </c>
      <c r="J58" s="78" t="s">
        <v>1767</v>
      </c>
    </row>
    <row r="59" spans="2:10" x14ac:dyDescent="0.25">
      <c r="F59" s="77"/>
      <c r="G59" s="77"/>
      <c r="H59" t="s">
        <v>4210</v>
      </c>
      <c r="I59" t="s">
        <v>1844</v>
      </c>
      <c r="J59" s="78" t="s">
        <v>1838</v>
      </c>
    </row>
    <row r="60" spans="2:10" x14ac:dyDescent="0.25">
      <c r="H60" t="s">
        <v>4211</v>
      </c>
      <c r="I60" t="s">
        <v>1846</v>
      </c>
      <c r="J60" s="78" t="s">
        <v>1842</v>
      </c>
    </row>
    <row r="61" spans="2:10" x14ac:dyDescent="0.25">
      <c r="H61" t="s">
        <v>4212</v>
      </c>
      <c r="I61" t="s">
        <v>1854</v>
      </c>
      <c r="J61" s="78" t="s">
        <v>1844</v>
      </c>
    </row>
    <row r="62" spans="2:10" x14ac:dyDescent="0.25">
      <c r="H62" t="s">
        <v>4213</v>
      </c>
      <c r="I62" t="s">
        <v>1856</v>
      </c>
      <c r="J62" s="78" t="s">
        <v>1846</v>
      </c>
    </row>
    <row r="63" spans="2:10" x14ac:dyDescent="0.25">
      <c r="H63" t="s">
        <v>4214</v>
      </c>
      <c r="I63" t="s">
        <v>1858</v>
      </c>
      <c r="J63" s="78" t="s">
        <v>1866</v>
      </c>
    </row>
    <row r="64" spans="2:10" x14ac:dyDescent="0.25">
      <c r="H64" t="s">
        <v>4215</v>
      </c>
      <c r="I64" t="s">
        <v>1862</v>
      </c>
      <c r="J64" s="78" t="s">
        <v>1868</v>
      </c>
    </row>
    <row r="65" spans="8:10" x14ac:dyDescent="0.25">
      <c r="H65" t="s">
        <v>4216</v>
      </c>
      <c r="I65" t="s">
        <v>1870</v>
      </c>
      <c r="J65" s="78" t="s">
        <v>1870</v>
      </c>
    </row>
    <row r="66" spans="8:10" x14ac:dyDescent="0.25">
      <c r="H66" t="s">
        <v>4217</v>
      </c>
      <c r="I66" t="s">
        <v>1878</v>
      </c>
      <c r="J66" s="78" t="s">
        <v>1878</v>
      </c>
    </row>
    <row r="67" spans="8:10" x14ac:dyDescent="0.25">
      <c r="H67" t="s">
        <v>4218</v>
      </c>
      <c r="I67" t="s">
        <v>1531</v>
      </c>
      <c r="J67" s="78" t="s">
        <v>4052</v>
      </c>
    </row>
    <row r="68" spans="8:10" x14ac:dyDescent="0.25">
      <c r="H68" t="s">
        <v>4219</v>
      </c>
      <c r="I68" t="s">
        <v>1891</v>
      </c>
      <c r="J68" s="78" t="s">
        <v>1894</v>
      </c>
    </row>
    <row r="69" spans="8:10" x14ac:dyDescent="0.25">
      <c r="H69" t="s">
        <v>4220</v>
      </c>
      <c r="I69" t="s">
        <v>1892</v>
      </c>
      <c r="J69" s="78" t="s">
        <v>4116</v>
      </c>
    </row>
    <row r="70" spans="8:10" x14ac:dyDescent="0.25">
      <c r="H70" t="s">
        <v>4221</v>
      </c>
      <c r="I70" t="s">
        <v>1894</v>
      </c>
      <c r="J70" s="78" t="s">
        <v>2273</v>
      </c>
    </row>
    <row r="71" spans="8:10" x14ac:dyDescent="0.25">
      <c r="H71" t="s">
        <v>4222</v>
      </c>
      <c r="I71" t="s">
        <v>1898</v>
      </c>
      <c r="J71" s="78" t="s">
        <v>4223</v>
      </c>
    </row>
    <row r="72" spans="8:10" x14ac:dyDescent="0.25">
      <c r="H72" t="s">
        <v>4224</v>
      </c>
      <c r="I72" t="s">
        <v>1904</v>
      </c>
      <c r="J72" s="78" t="s">
        <v>4225</v>
      </c>
    </row>
    <row r="73" spans="8:10" x14ac:dyDescent="0.25">
      <c r="H73" t="s">
        <v>4226</v>
      </c>
      <c r="I73" t="s">
        <v>1910</v>
      </c>
      <c r="J73" s="78" t="s">
        <v>3478</v>
      </c>
    </row>
    <row r="74" spans="8:10" x14ac:dyDescent="0.25">
      <c r="H74" t="s">
        <v>4227</v>
      </c>
      <c r="I74" t="s">
        <v>1527</v>
      </c>
      <c r="J74" s="78" t="s">
        <v>3669</v>
      </c>
    </row>
    <row r="75" spans="8:10" x14ac:dyDescent="0.25">
      <c r="H75" t="s">
        <v>4228</v>
      </c>
      <c r="I75" t="s">
        <v>4229</v>
      </c>
      <c r="J75" s="78" t="s">
        <v>4230</v>
      </c>
    </row>
    <row r="76" spans="8:10" x14ac:dyDescent="0.25">
      <c r="H76" t="s">
        <v>4231</v>
      </c>
      <c r="I76" t="s">
        <v>3991</v>
      </c>
      <c r="J76" s="78" t="s">
        <v>4232</v>
      </c>
    </row>
    <row r="77" spans="8:10" x14ac:dyDescent="0.25">
      <c r="H77" t="s">
        <v>4233</v>
      </c>
      <c r="I77" t="s">
        <v>3550</v>
      </c>
      <c r="J77" s="78" t="s">
        <v>4234</v>
      </c>
    </row>
    <row r="78" spans="8:10" x14ac:dyDescent="0.25">
      <c r="H78" t="s">
        <v>4235</v>
      </c>
      <c r="I78" t="s">
        <v>3813</v>
      </c>
      <c r="J78" s="78" t="s">
        <v>3525</v>
      </c>
    </row>
    <row r="79" spans="8:10" x14ac:dyDescent="0.25">
      <c r="H79" t="s">
        <v>4236</v>
      </c>
      <c r="I79" t="s">
        <v>4237</v>
      </c>
      <c r="J79" s="78" t="s">
        <v>3550</v>
      </c>
    </row>
    <row r="80" spans="8:10" x14ac:dyDescent="0.25">
      <c r="H80" t="s">
        <v>4238</v>
      </c>
      <c r="I80" t="s">
        <v>4239</v>
      </c>
      <c r="J80" s="78" t="s">
        <v>4240</v>
      </c>
    </row>
    <row r="81" spans="8:10" x14ac:dyDescent="0.25">
      <c r="H81" t="s">
        <v>4241</v>
      </c>
      <c r="I81" t="s">
        <v>4242</v>
      </c>
      <c r="J81" s="78" t="s">
        <v>3991</v>
      </c>
    </row>
    <row r="82" spans="8:10" x14ac:dyDescent="0.25">
      <c r="H82" t="s">
        <v>4243</v>
      </c>
      <c r="I82" t="s">
        <v>4244</v>
      </c>
      <c r="J82" s="78" t="s">
        <v>3505</v>
      </c>
    </row>
    <row r="83" spans="8:10" x14ac:dyDescent="0.25">
      <c r="H83" t="s">
        <v>4245</v>
      </c>
      <c r="I83" t="s">
        <v>4246</v>
      </c>
      <c r="J83" s="78" t="s">
        <v>4195</v>
      </c>
    </row>
    <row r="84" spans="8:10" x14ac:dyDescent="0.25">
      <c r="H84" t="s">
        <v>4247</v>
      </c>
      <c r="I84" t="s">
        <v>3525</v>
      </c>
      <c r="J84" s="78" t="s">
        <v>4248</v>
      </c>
    </row>
    <row r="85" spans="8:10" x14ac:dyDescent="0.25">
      <c r="H85" t="s">
        <v>4249</v>
      </c>
      <c r="I85" t="s">
        <v>4240</v>
      </c>
      <c r="J85" s="78" t="s">
        <v>1010</v>
      </c>
    </row>
    <row r="86" spans="8:10" x14ac:dyDescent="0.25">
      <c r="H86" t="s">
        <v>4250</v>
      </c>
      <c r="I86" t="s">
        <v>4251</v>
      </c>
      <c r="J86" s="78" t="s">
        <v>55</v>
      </c>
    </row>
    <row r="87" spans="8:10" x14ac:dyDescent="0.25">
      <c r="H87" t="s">
        <v>4252</v>
      </c>
      <c r="I87" t="s">
        <v>4253</v>
      </c>
      <c r="J87" s="78" t="s">
        <v>4200</v>
      </c>
    </row>
    <row r="88" spans="8:10" x14ac:dyDescent="0.25">
      <c r="H88" t="s">
        <v>4254</v>
      </c>
      <c r="I88" t="s">
        <v>4255</v>
      </c>
      <c r="J88" s="78" t="s">
        <v>4202</v>
      </c>
    </row>
    <row r="89" spans="8:10" x14ac:dyDescent="0.25">
      <c r="H89" t="s">
        <v>4256</v>
      </c>
      <c r="I89" t="s">
        <v>4232</v>
      </c>
      <c r="J89" s="78" t="s">
        <v>3959</v>
      </c>
    </row>
    <row r="90" spans="8:10" x14ac:dyDescent="0.25">
      <c r="H90" t="s">
        <v>4257</v>
      </c>
      <c r="I90" t="s">
        <v>4258</v>
      </c>
      <c r="J90" s="78" t="s">
        <v>4259</v>
      </c>
    </row>
    <row r="91" spans="8:10" x14ac:dyDescent="0.25">
      <c r="H91" t="s">
        <v>4260</v>
      </c>
      <c r="I91" t="s">
        <v>4261</v>
      </c>
      <c r="J91" s="78" t="s">
        <v>4000</v>
      </c>
    </row>
    <row r="92" spans="8:10" x14ac:dyDescent="0.25">
      <c r="H92" t="s">
        <v>4262</v>
      </c>
      <c r="I92" t="s">
        <v>4263</v>
      </c>
      <c r="J92" s="78" t="s">
        <v>3378</v>
      </c>
    </row>
    <row r="93" spans="8:10" x14ac:dyDescent="0.25">
      <c r="H93" t="s">
        <v>4264</v>
      </c>
      <c r="I93" t="s">
        <v>4265</v>
      </c>
      <c r="J93" s="78" t="s">
        <v>3575</v>
      </c>
    </row>
    <row r="94" spans="8:10" x14ac:dyDescent="0.25">
      <c r="H94" t="s">
        <v>4266</v>
      </c>
      <c r="I94" t="s">
        <v>3239</v>
      </c>
      <c r="J94" s="78" t="s">
        <v>3850</v>
      </c>
    </row>
    <row r="95" spans="8:10" x14ac:dyDescent="0.25">
      <c r="H95" t="s">
        <v>4267</v>
      </c>
      <c r="I95" t="s">
        <v>3248</v>
      </c>
    </row>
    <row r="96" spans="8:10" x14ac:dyDescent="0.25">
      <c r="H96" t="s">
        <v>4268</v>
      </c>
      <c r="I96" t="s">
        <v>2532</v>
      </c>
    </row>
    <row r="97" spans="8:9" x14ac:dyDescent="0.25">
      <c r="H97" t="s">
        <v>4269</v>
      </c>
      <c r="I97" t="s">
        <v>4270</v>
      </c>
    </row>
    <row r="98" spans="8:9" x14ac:dyDescent="0.25">
      <c r="H98" t="s">
        <v>4271</v>
      </c>
      <c r="I98" t="s">
        <v>3959</v>
      </c>
    </row>
    <row r="99" spans="8:9" x14ac:dyDescent="0.25">
      <c r="H99" t="s">
        <v>4272</v>
      </c>
      <c r="I99" t="s">
        <v>4259</v>
      </c>
    </row>
    <row r="100" spans="8:9" x14ac:dyDescent="0.25">
      <c r="H100" t="s">
        <v>4273</v>
      </c>
      <c r="I100" t="s">
        <v>4000</v>
      </c>
    </row>
    <row r="101" spans="8:9" x14ac:dyDescent="0.25">
      <c r="H101" t="s">
        <v>4274</v>
      </c>
      <c r="I101" t="s">
        <v>4008</v>
      </c>
    </row>
    <row r="102" spans="8:9" x14ac:dyDescent="0.25">
      <c r="H102" t="s">
        <v>4275</v>
      </c>
      <c r="I102" t="s">
        <v>4014</v>
      </c>
    </row>
    <row r="103" spans="8:9" x14ac:dyDescent="0.25">
      <c r="H103" t="s">
        <v>4276</v>
      </c>
      <c r="I103" t="s">
        <v>4277</v>
      </c>
    </row>
    <row r="104" spans="8:9" x14ac:dyDescent="0.25">
      <c r="H104" t="s">
        <v>4278</v>
      </c>
      <c r="I104" t="s">
        <v>4279</v>
      </c>
    </row>
    <row r="105" spans="8:9" x14ac:dyDescent="0.25">
      <c r="H105" t="s">
        <v>1123</v>
      </c>
      <c r="I105" t="s">
        <v>4020</v>
      </c>
    </row>
    <row r="106" spans="8:9" x14ac:dyDescent="0.25">
      <c r="I106" t="s">
        <v>4028</v>
      </c>
    </row>
  </sheetData>
  <pageMargins left="0.7" right="0.7" top="0.75" bottom="0.75"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21"/>
  <sheetViews>
    <sheetView zoomScaleNormal="100" workbookViewId="0">
      <selection activeCell="F11" sqref="F11"/>
    </sheetView>
  </sheetViews>
  <sheetFormatPr defaultColWidth="8.7109375" defaultRowHeight="15" x14ac:dyDescent="0.25"/>
  <cols>
    <col min="1" max="1" width="37" customWidth="1"/>
    <col min="2" max="2" width="31.85546875" customWidth="1"/>
    <col min="3" max="3" width="34.140625" customWidth="1"/>
    <col min="4" max="4" width="30.85546875" customWidth="1"/>
    <col min="5" max="5" width="43.42578125" customWidth="1"/>
    <col min="6" max="6" width="47.28515625" customWidth="1"/>
    <col min="7" max="7" width="36.28515625" customWidth="1"/>
    <col min="8" max="8" width="16.42578125" customWidth="1"/>
  </cols>
  <sheetData>
    <row r="1" spans="1:7" x14ac:dyDescent="0.25">
      <c r="A1" s="1" t="s">
        <v>884</v>
      </c>
      <c r="B1" s="1" t="s">
        <v>4280</v>
      </c>
      <c r="C1" s="1" t="s">
        <v>4281</v>
      </c>
      <c r="D1" s="1" t="s">
        <v>889</v>
      </c>
      <c r="E1" s="1" t="s">
        <v>1277</v>
      </c>
      <c r="F1" s="1" t="s">
        <v>1278</v>
      </c>
      <c r="G1" s="1" t="s">
        <v>4282</v>
      </c>
    </row>
    <row r="2" spans="1:7" x14ac:dyDescent="0.25">
      <c r="A2" s="51" t="s">
        <v>4283</v>
      </c>
      <c r="B2" s="64" t="s">
        <v>4284</v>
      </c>
      <c r="C2" s="64" t="s">
        <v>4284</v>
      </c>
      <c r="D2" s="51" t="s">
        <v>4283</v>
      </c>
      <c r="E2" s="64" t="s">
        <v>4284</v>
      </c>
      <c r="F2" s="64" t="s">
        <v>4284</v>
      </c>
      <c r="G2" s="64" t="s">
        <v>4284</v>
      </c>
    </row>
    <row r="3" spans="1:7" x14ac:dyDescent="0.25">
      <c r="A3" t="s">
        <v>4285</v>
      </c>
      <c r="B3" t="s">
        <v>4286</v>
      </c>
      <c r="C3" t="s">
        <v>4287</v>
      </c>
      <c r="D3" t="s">
        <v>4285</v>
      </c>
      <c r="E3" t="s">
        <v>4288</v>
      </c>
      <c r="F3" t="s">
        <v>4289</v>
      </c>
      <c r="G3" t="s">
        <v>4290</v>
      </c>
    </row>
    <row r="4" spans="1:7" x14ac:dyDescent="0.25">
      <c r="A4" t="s">
        <v>4291</v>
      </c>
      <c r="B4" t="s">
        <v>4292</v>
      </c>
      <c r="C4" t="s">
        <v>4293</v>
      </c>
      <c r="E4" t="s">
        <v>4294</v>
      </c>
      <c r="F4" t="s">
        <v>4295</v>
      </c>
      <c r="G4" t="s">
        <v>4296</v>
      </c>
    </row>
    <row r="5" spans="1:7" x14ac:dyDescent="0.25">
      <c r="E5" s="24" t="s">
        <v>4297</v>
      </c>
      <c r="F5" t="s">
        <v>4298</v>
      </c>
      <c r="G5" s="51" t="s">
        <v>4299</v>
      </c>
    </row>
    <row r="6" spans="1:7" x14ac:dyDescent="0.25">
      <c r="E6" s="64" t="s">
        <v>4300</v>
      </c>
      <c r="F6" s="64" t="s">
        <v>4301</v>
      </c>
      <c r="G6" s="64" t="s">
        <v>4302</v>
      </c>
    </row>
    <row r="7" spans="1:7" x14ac:dyDescent="0.25">
      <c r="E7" s="64" t="s">
        <v>4303</v>
      </c>
      <c r="F7" s="64" t="s">
        <v>4304</v>
      </c>
    </row>
    <row r="8" spans="1:7" x14ac:dyDescent="0.25">
      <c r="E8" t="s">
        <v>4305</v>
      </c>
    </row>
    <row r="21" spans="1:5" x14ac:dyDescent="0.25">
      <c r="A21" s="12">
        <v>8</v>
      </c>
      <c r="B21" s="12" t="s">
        <v>4306</v>
      </c>
      <c r="C21" s="12"/>
      <c r="D21" s="12" t="s">
        <v>4307</v>
      </c>
      <c r="E21" s="12" t="s">
        <v>4308</v>
      </c>
    </row>
  </sheetData>
  <pageMargins left="0.7" right="0.7" top="0.75" bottom="0.75"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121"/>
  <sheetViews>
    <sheetView zoomScaleNormal="100" workbookViewId="0">
      <selection activeCell="E72" sqref="E72"/>
    </sheetView>
  </sheetViews>
  <sheetFormatPr defaultColWidth="8.7109375" defaultRowHeight="15" x14ac:dyDescent="0.25"/>
  <cols>
    <col min="1" max="1" width="47.5703125" customWidth="1"/>
  </cols>
  <sheetData>
    <row r="1" spans="1:1" x14ac:dyDescent="0.25">
      <c r="A1" t="s">
        <v>4143</v>
      </c>
    </row>
    <row r="2" spans="1:1" x14ac:dyDescent="0.25">
      <c r="A2" t="s">
        <v>4144</v>
      </c>
    </row>
    <row r="3" spans="1:1" x14ac:dyDescent="0.25">
      <c r="A3" t="s">
        <v>4145</v>
      </c>
    </row>
    <row r="4" spans="1:1" x14ac:dyDescent="0.25">
      <c r="A4" t="s">
        <v>4146</v>
      </c>
    </row>
    <row r="5" spans="1:1" x14ac:dyDescent="0.25">
      <c r="A5" t="s">
        <v>4147</v>
      </c>
    </row>
    <row r="6" spans="1:1" x14ac:dyDescent="0.25">
      <c r="A6" t="s">
        <v>4148</v>
      </c>
    </row>
    <row r="7" spans="1:1" x14ac:dyDescent="0.25">
      <c r="A7" t="s">
        <v>4149</v>
      </c>
    </row>
    <row r="8" spans="1:1" x14ac:dyDescent="0.25">
      <c r="A8" t="s">
        <v>4151</v>
      </c>
    </row>
    <row r="9" spans="1:1" x14ac:dyDescent="0.25">
      <c r="A9" t="s">
        <v>4152</v>
      </c>
    </row>
    <row r="10" spans="1:1" x14ac:dyDescent="0.25">
      <c r="A10" t="s">
        <v>4153</v>
      </c>
    </row>
    <row r="11" spans="1:1" x14ac:dyDescent="0.25">
      <c r="A11" t="s">
        <v>4154</v>
      </c>
    </row>
    <row r="12" spans="1:1" x14ac:dyDescent="0.25">
      <c r="A12" t="s">
        <v>4155</v>
      </c>
    </row>
    <row r="13" spans="1:1" x14ac:dyDescent="0.25">
      <c r="A13" t="s">
        <v>4156</v>
      </c>
    </row>
    <row r="14" spans="1:1" x14ac:dyDescent="0.25">
      <c r="A14" t="s">
        <v>4157</v>
      </c>
    </row>
    <row r="15" spans="1:1" x14ac:dyDescent="0.25">
      <c r="A15" t="s">
        <v>4158</v>
      </c>
    </row>
    <row r="16" spans="1:1" x14ac:dyDescent="0.25">
      <c r="A16" t="s">
        <v>4159</v>
      </c>
    </row>
    <row r="17" spans="1:1" x14ac:dyDescent="0.25">
      <c r="A17" t="s">
        <v>4160</v>
      </c>
    </row>
    <row r="18" spans="1:1" x14ac:dyDescent="0.25">
      <c r="A18" t="s">
        <v>4162</v>
      </c>
    </row>
    <row r="19" spans="1:1" x14ac:dyDescent="0.25">
      <c r="A19" t="s">
        <v>4163</v>
      </c>
    </row>
    <row r="20" spans="1:1" x14ac:dyDescent="0.25">
      <c r="A20" t="s">
        <v>4164</v>
      </c>
    </row>
    <row r="21" spans="1:1" x14ac:dyDescent="0.25">
      <c r="A21" t="s">
        <v>4165</v>
      </c>
    </row>
    <row r="22" spans="1:1" x14ac:dyDescent="0.25">
      <c r="A22" t="s">
        <v>4166</v>
      </c>
    </row>
    <row r="23" spans="1:1" x14ac:dyDescent="0.25">
      <c r="A23" t="s">
        <v>4167</v>
      </c>
    </row>
    <row r="24" spans="1:1" x14ac:dyDescent="0.25">
      <c r="A24" t="s">
        <v>4168</v>
      </c>
    </row>
    <row r="25" spans="1:1" x14ac:dyDescent="0.25">
      <c r="A25" t="s">
        <v>4170</v>
      </c>
    </row>
    <row r="26" spans="1:1" x14ac:dyDescent="0.25">
      <c r="A26" t="s">
        <v>4309</v>
      </c>
    </row>
    <row r="27" spans="1:1" x14ac:dyDescent="0.25">
      <c r="A27" t="s">
        <v>4171</v>
      </c>
    </row>
    <row r="28" spans="1:1" x14ac:dyDescent="0.25">
      <c r="A28" t="s">
        <v>4310</v>
      </c>
    </row>
    <row r="29" spans="1:1" x14ac:dyDescent="0.25">
      <c r="A29" t="s">
        <v>4311</v>
      </c>
    </row>
    <row r="30" spans="1:1" x14ac:dyDescent="0.25">
      <c r="A30" t="s">
        <v>4312</v>
      </c>
    </row>
    <row r="31" spans="1:1" x14ac:dyDescent="0.25">
      <c r="A31" t="s">
        <v>4313</v>
      </c>
    </row>
    <row r="32" spans="1:1" x14ac:dyDescent="0.25">
      <c r="A32" t="s">
        <v>4314</v>
      </c>
    </row>
    <row r="33" spans="1:1" x14ac:dyDescent="0.25">
      <c r="A33" t="s">
        <v>4315</v>
      </c>
    </row>
    <row r="34" spans="1:1" x14ac:dyDescent="0.25">
      <c r="A34" t="s">
        <v>4316</v>
      </c>
    </row>
    <row r="35" spans="1:1" x14ac:dyDescent="0.25">
      <c r="A35" t="s">
        <v>4317</v>
      </c>
    </row>
    <row r="36" spans="1:1" x14ac:dyDescent="0.25">
      <c r="A36" t="s">
        <v>4318</v>
      </c>
    </row>
    <row r="37" spans="1:1" x14ac:dyDescent="0.25">
      <c r="A37" t="s">
        <v>4319</v>
      </c>
    </row>
    <row r="38" spans="1:1" x14ac:dyDescent="0.25">
      <c r="A38" t="s">
        <v>4320</v>
      </c>
    </row>
    <row r="39" spans="1:1" x14ac:dyDescent="0.25">
      <c r="A39" t="s">
        <v>4321</v>
      </c>
    </row>
    <row r="40" spans="1:1" x14ac:dyDescent="0.25">
      <c r="A40" t="s">
        <v>4322</v>
      </c>
    </row>
    <row r="41" spans="1:1" x14ac:dyDescent="0.25">
      <c r="A41" t="s">
        <v>4323</v>
      </c>
    </row>
    <row r="42" spans="1:1" x14ac:dyDescent="0.25">
      <c r="A42" t="s">
        <v>4324</v>
      </c>
    </row>
    <row r="43" spans="1:1" x14ac:dyDescent="0.25">
      <c r="A43" t="s">
        <v>4325</v>
      </c>
    </row>
    <row r="44" spans="1:1" x14ac:dyDescent="0.25">
      <c r="A44" t="s">
        <v>4326</v>
      </c>
    </row>
    <row r="45" spans="1:1" x14ac:dyDescent="0.25">
      <c r="A45" t="s">
        <v>4327</v>
      </c>
    </row>
    <row r="46" spans="1:1" x14ac:dyDescent="0.25">
      <c r="A46" t="s">
        <v>4328</v>
      </c>
    </row>
    <row r="47" spans="1:1" x14ac:dyDescent="0.25">
      <c r="A47" t="s">
        <v>4329</v>
      </c>
    </row>
    <row r="48" spans="1:1" x14ac:dyDescent="0.25">
      <c r="A48" t="s">
        <v>4172</v>
      </c>
    </row>
    <row r="49" spans="1:1" x14ac:dyDescent="0.25">
      <c r="A49" t="s">
        <v>4173</v>
      </c>
    </row>
    <row r="50" spans="1:1" x14ac:dyDescent="0.25">
      <c r="A50" t="s">
        <v>4174</v>
      </c>
    </row>
    <row r="51" spans="1:1" x14ac:dyDescent="0.25">
      <c r="A51" t="s">
        <v>4176</v>
      </c>
    </row>
    <row r="52" spans="1:1" x14ac:dyDescent="0.25">
      <c r="A52" t="s">
        <v>4178</v>
      </c>
    </row>
    <row r="53" spans="1:1" x14ac:dyDescent="0.25">
      <c r="A53" t="s">
        <v>4179</v>
      </c>
    </row>
    <row r="54" spans="1:1" x14ac:dyDescent="0.25">
      <c r="A54" t="s">
        <v>4180</v>
      </c>
    </row>
    <row r="55" spans="1:1" x14ac:dyDescent="0.25">
      <c r="A55" t="s">
        <v>4181</v>
      </c>
    </row>
    <row r="56" spans="1:1" x14ac:dyDescent="0.25">
      <c r="A56" t="s">
        <v>4182</v>
      </c>
    </row>
    <row r="57" spans="1:1" x14ac:dyDescent="0.25">
      <c r="A57" t="s">
        <v>4183</v>
      </c>
    </row>
    <row r="58" spans="1:1" x14ac:dyDescent="0.25">
      <c r="A58" t="s">
        <v>4184</v>
      </c>
    </row>
    <row r="59" spans="1:1" x14ac:dyDescent="0.25">
      <c r="A59" t="s">
        <v>4330</v>
      </c>
    </row>
    <row r="60" spans="1:1" x14ac:dyDescent="0.25">
      <c r="A60" t="s">
        <v>4187</v>
      </c>
    </row>
    <row r="61" spans="1:1" x14ac:dyDescent="0.25">
      <c r="A61" t="s">
        <v>4189</v>
      </c>
    </row>
    <row r="62" spans="1:1" x14ac:dyDescent="0.25">
      <c r="A62" t="s">
        <v>4191</v>
      </c>
    </row>
    <row r="63" spans="1:1" x14ac:dyDescent="0.25">
      <c r="A63" t="s">
        <v>4193</v>
      </c>
    </row>
    <row r="64" spans="1:1" x14ac:dyDescent="0.25">
      <c r="A64" t="s">
        <v>4194</v>
      </c>
    </row>
    <row r="65" spans="1:1" x14ac:dyDescent="0.25">
      <c r="A65" t="s">
        <v>4196</v>
      </c>
    </row>
    <row r="66" spans="1:1" x14ac:dyDescent="0.25">
      <c r="A66" t="s">
        <v>4197</v>
      </c>
    </row>
    <row r="67" spans="1:1" x14ac:dyDescent="0.25">
      <c r="A67" t="s">
        <v>4198</v>
      </c>
    </row>
    <row r="68" spans="1:1" x14ac:dyDescent="0.25">
      <c r="A68" t="s">
        <v>4199</v>
      </c>
    </row>
    <row r="69" spans="1:1" x14ac:dyDescent="0.25">
      <c r="A69" t="s">
        <v>4201</v>
      </c>
    </row>
    <row r="70" spans="1:1" x14ac:dyDescent="0.25">
      <c r="A70" t="s">
        <v>4203</v>
      </c>
    </row>
    <row r="71" spans="1:1" x14ac:dyDescent="0.25">
      <c r="A71" t="s">
        <v>4205</v>
      </c>
    </row>
    <row r="72" spans="1:1" x14ac:dyDescent="0.25">
      <c r="A72" t="s">
        <v>4206</v>
      </c>
    </row>
    <row r="73" spans="1:1" x14ac:dyDescent="0.25">
      <c r="A73" t="s">
        <v>4207</v>
      </c>
    </row>
    <row r="74" spans="1:1" x14ac:dyDescent="0.25">
      <c r="A74" t="s">
        <v>4208</v>
      </c>
    </row>
    <row r="75" spans="1:1" x14ac:dyDescent="0.25">
      <c r="A75" t="s">
        <v>4209</v>
      </c>
    </row>
    <row r="76" spans="1:1" x14ac:dyDescent="0.25">
      <c r="A76" t="s">
        <v>4210</v>
      </c>
    </row>
    <row r="77" spans="1:1" x14ac:dyDescent="0.25">
      <c r="A77" t="s">
        <v>4211</v>
      </c>
    </row>
    <row r="78" spans="1:1" x14ac:dyDescent="0.25">
      <c r="A78" t="s">
        <v>4212</v>
      </c>
    </row>
    <row r="79" spans="1:1" x14ac:dyDescent="0.25">
      <c r="A79" t="s">
        <v>4213</v>
      </c>
    </row>
    <row r="80" spans="1:1" x14ac:dyDescent="0.25">
      <c r="A80" t="s">
        <v>4214</v>
      </c>
    </row>
    <row r="81" spans="1:1" x14ac:dyDescent="0.25">
      <c r="A81" t="s">
        <v>4215</v>
      </c>
    </row>
    <row r="82" spans="1:1" x14ac:dyDescent="0.25">
      <c r="A82" t="s">
        <v>4216</v>
      </c>
    </row>
    <row r="83" spans="1:1" x14ac:dyDescent="0.25">
      <c r="A83" t="s">
        <v>4217</v>
      </c>
    </row>
    <row r="84" spans="1:1" x14ac:dyDescent="0.25">
      <c r="A84" t="s">
        <v>4218</v>
      </c>
    </row>
    <row r="85" spans="1:1" x14ac:dyDescent="0.25">
      <c r="A85" t="s">
        <v>4219</v>
      </c>
    </row>
    <row r="86" spans="1:1" x14ac:dyDescent="0.25">
      <c r="A86" t="s">
        <v>4220</v>
      </c>
    </row>
    <row r="87" spans="1:1" x14ac:dyDescent="0.25">
      <c r="A87" t="s">
        <v>4221</v>
      </c>
    </row>
    <row r="88" spans="1:1" x14ac:dyDescent="0.25">
      <c r="A88" t="s">
        <v>4222</v>
      </c>
    </row>
    <row r="89" spans="1:1" x14ac:dyDescent="0.25">
      <c r="A89" t="s">
        <v>4224</v>
      </c>
    </row>
    <row r="90" spans="1:1" x14ac:dyDescent="0.25">
      <c r="A90" t="s">
        <v>4226</v>
      </c>
    </row>
    <row r="91" spans="1:1" x14ac:dyDescent="0.25">
      <c r="A91" t="s">
        <v>4227</v>
      </c>
    </row>
    <row r="92" spans="1:1" x14ac:dyDescent="0.25">
      <c r="A92" t="s">
        <v>4228</v>
      </c>
    </row>
    <row r="93" spans="1:1" x14ac:dyDescent="0.25">
      <c r="A93" t="s">
        <v>4231</v>
      </c>
    </row>
    <row r="94" spans="1:1" x14ac:dyDescent="0.25">
      <c r="A94" t="s">
        <v>4233</v>
      </c>
    </row>
    <row r="95" spans="1:1" x14ac:dyDescent="0.25">
      <c r="A95" t="s">
        <v>4235</v>
      </c>
    </row>
    <row r="96" spans="1:1" x14ac:dyDescent="0.25">
      <c r="A96" t="s">
        <v>4236</v>
      </c>
    </row>
    <row r="97" spans="1:1" x14ac:dyDescent="0.25">
      <c r="A97" t="s">
        <v>4238</v>
      </c>
    </row>
    <row r="98" spans="1:1" x14ac:dyDescent="0.25">
      <c r="A98" t="s">
        <v>4241</v>
      </c>
    </row>
    <row r="99" spans="1:1" x14ac:dyDescent="0.25">
      <c r="A99" t="s">
        <v>4243</v>
      </c>
    </row>
    <row r="100" spans="1:1" x14ac:dyDescent="0.25">
      <c r="A100" t="s">
        <v>4245</v>
      </c>
    </row>
    <row r="101" spans="1:1" x14ac:dyDescent="0.25">
      <c r="A101" t="s">
        <v>4247</v>
      </c>
    </row>
    <row r="102" spans="1:1" x14ac:dyDescent="0.25">
      <c r="A102" t="s">
        <v>4249</v>
      </c>
    </row>
    <row r="103" spans="1:1" x14ac:dyDescent="0.25">
      <c r="A103" t="s">
        <v>4250</v>
      </c>
    </row>
    <row r="104" spans="1:1" x14ac:dyDescent="0.25">
      <c r="A104" t="s">
        <v>4252</v>
      </c>
    </row>
    <row r="105" spans="1:1" x14ac:dyDescent="0.25">
      <c r="A105" t="s">
        <v>4254</v>
      </c>
    </row>
    <row r="106" spans="1:1" x14ac:dyDescent="0.25">
      <c r="A106" t="s">
        <v>4256</v>
      </c>
    </row>
    <row r="107" spans="1:1" x14ac:dyDescent="0.25">
      <c r="A107" t="s">
        <v>4257</v>
      </c>
    </row>
    <row r="108" spans="1:1" x14ac:dyDescent="0.25">
      <c r="A108" t="s">
        <v>4260</v>
      </c>
    </row>
    <row r="109" spans="1:1" x14ac:dyDescent="0.25">
      <c r="A109" t="s">
        <v>4262</v>
      </c>
    </row>
    <row r="110" spans="1:1" x14ac:dyDescent="0.25">
      <c r="A110" t="s">
        <v>4264</v>
      </c>
    </row>
    <row r="111" spans="1:1" x14ac:dyDescent="0.25">
      <c r="A111" t="s">
        <v>4266</v>
      </c>
    </row>
    <row r="112" spans="1:1" x14ac:dyDescent="0.25">
      <c r="A112" t="s">
        <v>4267</v>
      </c>
    </row>
    <row r="113" spans="1:1" x14ac:dyDescent="0.25">
      <c r="A113" t="s">
        <v>4268</v>
      </c>
    </row>
    <row r="114" spans="1:1" x14ac:dyDescent="0.25">
      <c r="A114" t="s">
        <v>4269</v>
      </c>
    </row>
    <row r="115" spans="1:1" x14ac:dyDescent="0.25">
      <c r="A115" t="s">
        <v>4271</v>
      </c>
    </row>
    <row r="116" spans="1:1" x14ac:dyDescent="0.25">
      <c r="A116" t="s">
        <v>4272</v>
      </c>
    </row>
    <row r="117" spans="1:1" x14ac:dyDescent="0.25">
      <c r="A117" t="s">
        <v>4273</v>
      </c>
    </row>
    <row r="118" spans="1:1" x14ac:dyDescent="0.25">
      <c r="A118" t="s">
        <v>4274</v>
      </c>
    </row>
    <row r="119" spans="1:1" x14ac:dyDescent="0.25">
      <c r="A119" t="s">
        <v>4275</v>
      </c>
    </row>
    <row r="120" spans="1:1" x14ac:dyDescent="0.25">
      <c r="A120" t="s">
        <v>4276</v>
      </c>
    </row>
    <row r="121" spans="1:1" x14ac:dyDescent="0.25">
      <c r="A121" t="s">
        <v>4278</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2" baseType="variant">
      <vt:variant>
        <vt:lpstr>Листы</vt:lpstr>
      </vt:variant>
      <vt:variant>
        <vt:i4>34</vt:i4>
      </vt:variant>
    </vt:vector>
  </HeadingPairs>
  <TitlesOfParts>
    <vt:vector size="34" baseType="lpstr">
      <vt:lpstr>contents</vt:lpstr>
      <vt:lpstr>switch_models</vt:lpstr>
      <vt:lpstr>san_graph_grid</vt:lpstr>
      <vt:lpstr>oui</vt:lpstr>
      <vt:lpstr>sfp_models</vt:lpstr>
      <vt:lpstr>ssave</vt:lpstr>
      <vt:lpstr>chassis</vt:lpstr>
      <vt:lpstr>switch</vt:lpstr>
      <vt:lpstr>maps</vt:lpstr>
      <vt:lpstr>log</vt:lpstr>
      <vt:lpstr>portcmd</vt:lpstr>
      <vt:lpstr>portinfo</vt:lpstr>
      <vt:lpstr>ns_fdmi</vt:lpstr>
      <vt:lpstr>ns_split</vt:lpstr>
      <vt:lpstr>isl</vt:lpstr>
      <vt:lpstr>fcr</vt:lpstr>
      <vt:lpstr>sensor</vt:lpstr>
      <vt:lpstr>fabric</vt:lpstr>
      <vt:lpstr>zoning</vt:lpstr>
      <vt:lpstr>port_statistics</vt:lpstr>
      <vt:lpstr>common_regex</vt:lpstr>
      <vt:lpstr>blades</vt:lpstr>
      <vt:lpstr>synergy</vt:lpstr>
      <vt:lpstr>3par</vt:lpstr>
      <vt:lpstr>oceanstor</vt:lpstr>
      <vt:lpstr>raslog_split</vt:lpstr>
      <vt:lpstr>raslog_details</vt:lpstr>
      <vt:lpstr>raslog_id_details</vt:lpstr>
      <vt:lpstr>topology_regex</vt:lpstr>
      <vt:lpstr>report_columns_links</vt:lpstr>
      <vt:lpstr>customer_report</vt:lpstr>
      <vt:lpstr>Sheet1</vt:lpstr>
      <vt:lpstr>notes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Konstantin Vlasenko</dc:creator>
  <dc:description/>
  <cp:lastModifiedBy>Власенко Константин Александрович</cp:lastModifiedBy>
  <cp:revision>3</cp:revision>
  <dcterms:created xsi:type="dcterms:W3CDTF">2019-04-29T20:55:41Z</dcterms:created>
  <dcterms:modified xsi:type="dcterms:W3CDTF">2026-03-25T16:52:04Z</dcterms:modified>
  <dc:language>ru-RU</dc:language>
</cp:coreProperties>
</file>